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ocuments\orchestrator_tonometr\data\"/>
    </mc:Choice>
  </mc:AlternateContent>
  <xr:revisionPtr revIDLastSave="0" documentId="13_ncr:1_{76083A3E-51C2-49E1-825F-EE0D1B56A06D}" xr6:coauthVersionLast="47" xr6:coauthVersionMax="47" xr10:uidLastSave="{00000000-0000-0000-0000-000000000000}"/>
  <bookViews>
    <workbookView xWindow="2003" yWindow="-118" windowWidth="31628" windowHeight="14374" xr2:uid="{00000000-000D-0000-FFFF-FFFF00000000}"/>
  </bookViews>
  <sheets>
    <sheet name="Тонометры" sheetId="1" r:id="rId1"/>
    <sheet name="Алкометры" sheetId="2" r:id="rId2"/>
    <sheet name="📖 Инструкция" sheetId="3" r:id="rId3"/>
  </sheets>
  <definedNames>
    <definedName name="_xlnm._FilterDatabase" localSheetId="1" hidden="1">Алкометры!$A$4:$L$140</definedName>
    <definedName name="_xlnm._FilterDatabase" localSheetId="0" hidden="1">Тонометры!$A$4:$L$191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40" i="2" l="1"/>
  <c r="I140" i="2"/>
  <c r="H140" i="2"/>
  <c r="G140" i="2"/>
  <c r="J139" i="2"/>
  <c r="I139" i="2"/>
  <c r="H139" i="2"/>
  <c r="G139" i="2"/>
  <c r="J138" i="2"/>
  <c r="I138" i="2"/>
  <c r="H138" i="2"/>
  <c r="G138" i="2"/>
  <c r="J137" i="2"/>
  <c r="I137" i="2"/>
  <c r="H137" i="2"/>
  <c r="G137" i="2"/>
  <c r="J136" i="2"/>
  <c r="I136" i="2"/>
  <c r="H136" i="2"/>
  <c r="G136" i="2"/>
  <c r="J135" i="2"/>
  <c r="I135" i="2"/>
  <c r="H135" i="2"/>
  <c r="G135" i="2"/>
  <c r="J134" i="2"/>
  <c r="I134" i="2"/>
  <c r="H134" i="2"/>
  <c r="G134" i="2"/>
  <c r="K133" i="2"/>
  <c r="J133" i="2"/>
  <c r="I133" i="2"/>
  <c r="H133" i="2"/>
  <c r="G133" i="2"/>
  <c r="J132" i="2"/>
  <c r="I132" i="2"/>
  <c r="K132" i="2" s="1"/>
  <c r="H132" i="2"/>
  <c r="G132" i="2"/>
  <c r="J131" i="2"/>
  <c r="I131" i="2"/>
  <c r="H131" i="2"/>
  <c r="K131" i="2" s="1"/>
  <c r="G131" i="2"/>
  <c r="K130" i="2"/>
  <c r="J130" i="2"/>
  <c r="I130" i="2"/>
  <c r="H130" i="2"/>
  <c r="G130" i="2"/>
  <c r="J129" i="2"/>
  <c r="K129" i="2" s="1"/>
  <c r="I129" i="2"/>
  <c r="H129" i="2"/>
  <c r="G129" i="2"/>
  <c r="J128" i="2"/>
  <c r="I128" i="2"/>
  <c r="H128" i="2"/>
  <c r="G128" i="2"/>
  <c r="K128" i="2" s="1"/>
  <c r="J127" i="2"/>
  <c r="K127" i="2" s="1"/>
  <c r="I127" i="2"/>
  <c r="H127" i="2"/>
  <c r="G127" i="2"/>
  <c r="J126" i="2"/>
  <c r="I126" i="2"/>
  <c r="K126" i="2" s="1"/>
  <c r="H126" i="2"/>
  <c r="G126" i="2"/>
  <c r="K125" i="2"/>
  <c r="J125" i="2"/>
  <c r="I125" i="2"/>
  <c r="H125" i="2"/>
  <c r="G125" i="2"/>
  <c r="J124" i="2"/>
  <c r="I124" i="2"/>
  <c r="K124" i="2" s="1"/>
  <c r="H124" i="2"/>
  <c r="G124" i="2"/>
  <c r="J123" i="2"/>
  <c r="K123" i="2" s="1"/>
  <c r="I123" i="2"/>
  <c r="H123" i="2"/>
  <c r="G123" i="2"/>
  <c r="K122" i="2"/>
  <c r="J122" i="2"/>
  <c r="I122" i="2"/>
  <c r="H122" i="2"/>
  <c r="G122" i="2"/>
  <c r="J121" i="2"/>
  <c r="K121" i="2" s="1"/>
  <c r="I121" i="2"/>
  <c r="H121" i="2"/>
  <c r="G121" i="2"/>
  <c r="J120" i="2"/>
  <c r="I120" i="2"/>
  <c r="H120" i="2"/>
  <c r="G120" i="2"/>
  <c r="K120" i="2" s="1"/>
  <c r="J119" i="2"/>
  <c r="K119" i="2" s="1"/>
  <c r="I119" i="2"/>
  <c r="H119" i="2"/>
  <c r="G119" i="2"/>
  <c r="J118" i="2"/>
  <c r="I118" i="2"/>
  <c r="K118" i="2" s="1"/>
  <c r="H118" i="2"/>
  <c r="G118" i="2"/>
  <c r="K117" i="2"/>
  <c r="J117" i="2"/>
  <c r="I117" i="2"/>
  <c r="H117" i="2"/>
  <c r="G117" i="2"/>
  <c r="J116" i="2"/>
  <c r="I116" i="2"/>
  <c r="K116" i="2" s="1"/>
  <c r="H116" i="2"/>
  <c r="G116" i="2"/>
  <c r="J115" i="2"/>
  <c r="K115" i="2" s="1"/>
  <c r="I115" i="2"/>
  <c r="H115" i="2"/>
  <c r="G115" i="2"/>
  <c r="K114" i="2"/>
  <c r="J114" i="2"/>
  <c r="I114" i="2"/>
  <c r="H114" i="2"/>
  <c r="G114" i="2"/>
  <c r="J113" i="2"/>
  <c r="K113" i="2" s="1"/>
  <c r="I113" i="2"/>
  <c r="H113" i="2"/>
  <c r="G113" i="2"/>
  <c r="J112" i="2"/>
  <c r="I112" i="2"/>
  <c r="H112" i="2"/>
  <c r="G112" i="2"/>
  <c r="K112" i="2" s="1"/>
  <c r="J111" i="2"/>
  <c r="K111" i="2" s="1"/>
  <c r="I111" i="2"/>
  <c r="H111" i="2"/>
  <c r="G111" i="2"/>
  <c r="J110" i="2"/>
  <c r="I110" i="2"/>
  <c r="K110" i="2" s="1"/>
  <c r="H110" i="2"/>
  <c r="G110" i="2"/>
  <c r="K109" i="2"/>
  <c r="J109" i="2"/>
  <c r="I109" i="2"/>
  <c r="H109" i="2"/>
  <c r="G109" i="2"/>
  <c r="J108" i="2"/>
  <c r="I108" i="2"/>
  <c r="K108" i="2" s="1"/>
  <c r="H108" i="2"/>
  <c r="G108" i="2"/>
  <c r="J107" i="2"/>
  <c r="K107" i="2" s="1"/>
  <c r="I107" i="2"/>
  <c r="H107" i="2"/>
  <c r="G107" i="2"/>
  <c r="K106" i="2"/>
  <c r="J106" i="2"/>
  <c r="I106" i="2"/>
  <c r="H106" i="2"/>
  <c r="G106" i="2"/>
  <c r="J105" i="2"/>
  <c r="K105" i="2" s="1"/>
  <c r="I105" i="2"/>
  <c r="H105" i="2"/>
  <c r="G105" i="2"/>
  <c r="J104" i="2"/>
  <c r="I104" i="2"/>
  <c r="K104" i="2" s="1"/>
  <c r="H104" i="2"/>
  <c r="G104" i="2"/>
  <c r="J103" i="2"/>
  <c r="K103" i="2" s="1"/>
  <c r="I103" i="2"/>
  <c r="H103" i="2"/>
  <c r="G103" i="2"/>
  <c r="J102" i="2"/>
  <c r="I102" i="2"/>
  <c r="K102" i="2" s="1"/>
  <c r="H102" i="2"/>
  <c r="G102" i="2"/>
  <c r="K101" i="2"/>
  <c r="J101" i="2"/>
  <c r="I101" i="2"/>
  <c r="H101" i="2"/>
  <c r="G101" i="2"/>
  <c r="J100" i="2"/>
  <c r="I100" i="2"/>
  <c r="K100" i="2" s="1"/>
  <c r="H100" i="2"/>
  <c r="G100" i="2"/>
  <c r="J99" i="2"/>
  <c r="K99" i="2" s="1"/>
  <c r="I99" i="2"/>
  <c r="H99" i="2"/>
  <c r="G99" i="2"/>
  <c r="K98" i="2"/>
  <c r="J98" i="2"/>
  <c r="I98" i="2"/>
  <c r="H98" i="2"/>
  <c r="G98" i="2"/>
  <c r="J97" i="2"/>
  <c r="K97" i="2" s="1"/>
  <c r="I97" i="2"/>
  <c r="H97" i="2"/>
  <c r="G97" i="2"/>
  <c r="J96" i="2"/>
  <c r="I96" i="2"/>
  <c r="K96" i="2" s="1"/>
  <c r="H96" i="2"/>
  <c r="G96" i="2"/>
  <c r="J95" i="2"/>
  <c r="K95" i="2" s="1"/>
  <c r="I95" i="2"/>
  <c r="H95" i="2"/>
  <c r="G95" i="2"/>
  <c r="J94" i="2"/>
  <c r="I94" i="2"/>
  <c r="K94" i="2" s="1"/>
  <c r="H94" i="2"/>
  <c r="G94" i="2"/>
  <c r="K93" i="2"/>
  <c r="J93" i="2"/>
  <c r="I93" i="2"/>
  <c r="H93" i="2"/>
  <c r="G93" i="2"/>
  <c r="J92" i="2"/>
  <c r="I92" i="2"/>
  <c r="K92" i="2" s="1"/>
  <c r="H92" i="2"/>
  <c r="G92" i="2"/>
  <c r="J91" i="2"/>
  <c r="K91" i="2" s="1"/>
  <c r="I91" i="2"/>
  <c r="H91" i="2"/>
  <c r="G91" i="2"/>
  <c r="K90" i="2"/>
  <c r="J90" i="2"/>
  <c r="I90" i="2"/>
  <c r="H90" i="2"/>
  <c r="G90" i="2"/>
  <c r="J89" i="2"/>
  <c r="K89" i="2" s="1"/>
  <c r="I89" i="2"/>
  <c r="H89" i="2"/>
  <c r="G89" i="2"/>
  <c r="J88" i="2"/>
  <c r="I88" i="2"/>
  <c r="K88" i="2" s="1"/>
  <c r="H88" i="2"/>
  <c r="G88" i="2"/>
  <c r="J87" i="2"/>
  <c r="K87" i="2" s="1"/>
  <c r="I87" i="2"/>
  <c r="H87" i="2"/>
  <c r="G87" i="2"/>
  <c r="J86" i="2"/>
  <c r="I86" i="2"/>
  <c r="K86" i="2" s="1"/>
  <c r="H86" i="2"/>
  <c r="G86" i="2"/>
  <c r="K85" i="2"/>
  <c r="J85" i="2"/>
  <c r="I85" i="2"/>
  <c r="H85" i="2"/>
  <c r="G85" i="2"/>
  <c r="J84" i="2"/>
  <c r="I84" i="2"/>
  <c r="K84" i="2" s="1"/>
  <c r="H84" i="2"/>
  <c r="G84" i="2"/>
  <c r="J83" i="2"/>
  <c r="K83" i="2" s="1"/>
  <c r="I83" i="2"/>
  <c r="H83" i="2"/>
  <c r="G83" i="2"/>
  <c r="K82" i="2"/>
  <c r="J82" i="2"/>
  <c r="I82" i="2"/>
  <c r="H82" i="2"/>
  <c r="G82" i="2"/>
  <c r="J81" i="2"/>
  <c r="K81" i="2" s="1"/>
  <c r="I81" i="2"/>
  <c r="H81" i="2"/>
  <c r="G81" i="2"/>
  <c r="J80" i="2"/>
  <c r="I80" i="2"/>
  <c r="K80" i="2" s="1"/>
  <c r="H80" i="2"/>
  <c r="G80" i="2"/>
  <c r="J79" i="2"/>
  <c r="K79" i="2" s="1"/>
  <c r="I79" i="2"/>
  <c r="H79" i="2"/>
  <c r="G79" i="2"/>
  <c r="J78" i="2"/>
  <c r="I78" i="2"/>
  <c r="K78" i="2" s="1"/>
  <c r="H78" i="2"/>
  <c r="G78" i="2"/>
  <c r="K77" i="2"/>
  <c r="J77" i="2"/>
  <c r="I77" i="2"/>
  <c r="H77" i="2"/>
  <c r="G77" i="2"/>
  <c r="J76" i="2"/>
  <c r="I76" i="2"/>
  <c r="K76" i="2" s="1"/>
  <c r="H76" i="2"/>
  <c r="G76" i="2"/>
  <c r="J75" i="2"/>
  <c r="K75" i="2" s="1"/>
  <c r="I75" i="2"/>
  <c r="H75" i="2"/>
  <c r="G75" i="2"/>
  <c r="K74" i="2"/>
  <c r="J74" i="2"/>
  <c r="I74" i="2"/>
  <c r="H74" i="2"/>
  <c r="G74" i="2"/>
  <c r="J73" i="2"/>
  <c r="K73" i="2" s="1"/>
  <c r="I73" i="2"/>
  <c r="H73" i="2"/>
  <c r="G73" i="2"/>
  <c r="J72" i="2"/>
  <c r="I72" i="2"/>
  <c r="K72" i="2" s="1"/>
  <c r="H72" i="2"/>
  <c r="G72" i="2"/>
  <c r="J71" i="2"/>
  <c r="K71" i="2" s="1"/>
  <c r="I71" i="2"/>
  <c r="H71" i="2"/>
  <c r="G71" i="2"/>
  <c r="J70" i="2"/>
  <c r="I70" i="2"/>
  <c r="K70" i="2" s="1"/>
  <c r="H70" i="2"/>
  <c r="G70" i="2"/>
  <c r="K69" i="2"/>
  <c r="J69" i="2"/>
  <c r="I69" i="2"/>
  <c r="H69" i="2"/>
  <c r="G69" i="2"/>
  <c r="J68" i="2"/>
  <c r="I68" i="2"/>
  <c r="K68" i="2" s="1"/>
  <c r="H68" i="2"/>
  <c r="G68" i="2"/>
  <c r="J67" i="2"/>
  <c r="K67" i="2" s="1"/>
  <c r="I67" i="2"/>
  <c r="H67" i="2"/>
  <c r="G67" i="2"/>
  <c r="K66" i="2"/>
  <c r="J66" i="2"/>
  <c r="I66" i="2"/>
  <c r="H66" i="2"/>
  <c r="G66" i="2"/>
  <c r="J65" i="2"/>
  <c r="K65" i="2" s="1"/>
  <c r="I65" i="2"/>
  <c r="H65" i="2"/>
  <c r="G65" i="2"/>
  <c r="J64" i="2"/>
  <c r="K64" i="2" s="1"/>
  <c r="I64" i="2"/>
  <c r="H64" i="2"/>
  <c r="G64" i="2"/>
  <c r="J63" i="2"/>
  <c r="K63" i="2" s="1"/>
  <c r="I63" i="2"/>
  <c r="H63" i="2"/>
  <c r="G63" i="2"/>
  <c r="J62" i="2"/>
  <c r="I62" i="2"/>
  <c r="K62" i="2" s="1"/>
  <c r="H62" i="2"/>
  <c r="G62" i="2"/>
  <c r="K61" i="2"/>
  <c r="J61" i="2"/>
  <c r="I61" i="2"/>
  <c r="H61" i="2"/>
  <c r="G61" i="2"/>
  <c r="J60" i="2"/>
  <c r="I60" i="2"/>
  <c r="K60" i="2" s="1"/>
  <c r="H60" i="2"/>
  <c r="G60" i="2"/>
  <c r="J59" i="2"/>
  <c r="K59" i="2" s="1"/>
  <c r="I59" i="2"/>
  <c r="H59" i="2"/>
  <c r="G59" i="2"/>
  <c r="K58" i="2"/>
  <c r="J58" i="2"/>
  <c r="I58" i="2"/>
  <c r="H58" i="2"/>
  <c r="G58" i="2"/>
  <c r="J57" i="2"/>
  <c r="K57" i="2" s="1"/>
  <c r="I57" i="2"/>
  <c r="H57" i="2"/>
  <c r="G57" i="2"/>
  <c r="J56" i="2"/>
  <c r="K56" i="2" s="1"/>
  <c r="I56" i="2"/>
  <c r="H56" i="2"/>
  <c r="G56" i="2"/>
  <c r="J55" i="2"/>
  <c r="K55" i="2" s="1"/>
  <c r="I55" i="2"/>
  <c r="H55" i="2"/>
  <c r="G55" i="2"/>
  <c r="J54" i="2"/>
  <c r="I54" i="2"/>
  <c r="K54" i="2" s="1"/>
  <c r="H54" i="2"/>
  <c r="G54" i="2"/>
  <c r="K53" i="2"/>
  <c r="J53" i="2"/>
  <c r="I53" i="2"/>
  <c r="H53" i="2"/>
  <c r="G53" i="2"/>
  <c r="J52" i="2"/>
  <c r="I52" i="2"/>
  <c r="K52" i="2" s="1"/>
  <c r="H52" i="2"/>
  <c r="G52" i="2"/>
  <c r="J51" i="2"/>
  <c r="K140" i="2" s="1"/>
  <c r="I51" i="2"/>
  <c r="H51" i="2"/>
  <c r="G51" i="2"/>
  <c r="K50" i="2"/>
  <c r="J50" i="2"/>
  <c r="K139" i="2" s="1"/>
  <c r="I50" i="2"/>
  <c r="H50" i="2"/>
  <c r="G50" i="2"/>
  <c r="J49" i="2"/>
  <c r="K49" i="2" s="1"/>
  <c r="I49" i="2"/>
  <c r="H49" i="2"/>
  <c r="K138" i="2" s="1"/>
  <c r="G49" i="2"/>
  <c r="J48" i="2"/>
  <c r="K48" i="2" s="1"/>
  <c r="I48" i="2"/>
  <c r="H48" i="2"/>
  <c r="G48" i="2"/>
  <c r="J47" i="2"/>
  <c r="K47" i="2" s="1"/>
  <c r="I47" i="2"/>
  <c r="H47" i="2"/>
  <c r="G47" i="2"/>
  <c r="J46" i="2"/>
  <c r="K135" i="2" s="1"/>
  <c r="I46" i="2"/>
  <c r="K46" i="2" s="1"/>
  <c r="H46" i="2"/>
  <c r="G46" i="2"/>
  <c r="K45" i="2"/>
  <c r="J45" i="2"/>
  <c r="K134" i="2" s="1"/>
  <c r="I45" i="2"/>
  <c r="H45" i="2"/>
  <c r="G45" i="2"/>
  <c r="J44" i="2"/>
  <c r="I44" i="2"/>
  <c r="K44" i="2" s="1"/>
  <c r="H44" i="2"/>
  <c r="G44" i="2"/>
  <c r="J43" i="2"/>
  <c r="K43" i="2" s="1"/>
  <c r="I43" i="2"/>
  <c r="H43" i="2"/>
  <c r="G43" i="2"/>
  <c r="K42" i="2"/>
  <c r="J42" i="2"/>
  <c r="I42" i="2"/>
  <c r="H42" i="2"/>
  <c r="G42" i="2"/>
  <c r="J41" i="2"/>
  <c r="K41" i="2" s="1"/>
  <c r="I41" i="2"/>
  <c r="H41" i="2"/>
  <c r="G41" i="2"/>
  <c r="J40" i="2"/>
  <c r="K40" i="2" s="1"/>
  <c r="I40" i="2"/>
  <c r="H40" i="2"/>
  <c r="G40" i="2"/>
  <c r="J39" i="2"/>
  <c r="K39" i="2" s="1"/>
  <c r="I39" i="2"/>
  <c r="H39" i="2"/>
  <c r="G39" i="2"/>
  <c r="J38" i="2"/>
  <c r="I38" i="2"/>
  <c r="K38" i="2" s="1"/>
  <c r="H38" i="2"/>
  <c r="G38" i="2"/>
  <c r="K37" i="2"/>
  <c r="J37" i="2"/>
  <c r="I37" i="2"/>
  <c r="H37" i="2"/>
  <c r="G37" i="2"/>
  <c r="J36" i="2"/>
  <c r="I36" i="2"/>
  <c r="K36" i="2" s="1"/>
  <c r="H36" i="2"/>
  <c r="G36" i="2"/>
  <c r="J35" i="2"/>
  <c r="K35" i="2" s="1"/>
  <c r="I35" i="2"/>
  <c r="H35" i="2"/>
  <c r="G35" i="2"/>
  <c r="K34" i="2"/>
  <c r="J34" i="2"/>
  <c r="I34" i="2"/>
  <c r="H34" i="2"/>
  <c r="G34" i="2"/>
  <c r="J33" i="2"/>
  <c r="K33" i="2" s="1"/>
  <c r="I33" i="2"/>
  <c r="H33" i="2"/>
  <c r="G33" i="2"/>
  <c r="J32" i="2"/>
  <c r="K32" i="2" s="1"/>
  <c r="I32" i="2"/>
  <c r="H32" i="2"/>
  <c r="G32" i="2"/>
  <c r="J31" i="2"/>
  <c r="K31" i="2" s="1"/>
  <c r="I31" i="2"/>
  <c r="H31" i="2"/>
  <c r="G31" i="2"/>
  <c r="J30" i="2"/>
  <c r="I30" i="2"/>
  <c r="K30" i="2" s="1"/>
  <c r="H30" i="2"/>
  <c r="G30" i="2"/>
  <c r="K29" i="2"/>
  <c r="J29" i="2"/>
  <c r="I29" i="2"/>
  <c r="H29" i="2"/>
  <c r="G29" i="2"/>
  <c r="J28" i="2"/>
  <c r="I28" i="2"/>
  <c r="K28" i="2" s="1"/>
  <c r="H28" i="2"/>
  <c r="G28" i="2"/>
  <c r="J27" i="2"/>
  <c r="K27" i="2" s="1"/>
  <c r="I27" i="2"/>
  <c r="H27" i="2"/>
  <c r="G27" i="2"/>
  <c r="K26" i="2"/>
  <c r="J26" i="2"/>
  <c r="I26" i="2"/>
  <c r="H26" i="2"/>
  <c r="G26" i="2"/>
  <c r="J25" i="2"/>
  <c r="K25" i="2" s="1"/>
  <c r="I25" i="2"/>
  <c r="H25" i="2"/>
  <c r="G25" i="2"/>
  <c r="J24" i="2"/>
  <c r="K24" i="2" s="1"/>
  <c r="I24" i="2"/>
  <c r="H24" i="2"/>
  <c r="G24" i="2"/>
  <c r="J23" i="2"/>
  <c r="K23" i="2" s="1"/>
  <c r="I23" i="2"/>
  <c r="H23" i="2"/>
  <c r="G23" i="2"/>
  <c r="J22" i="2"/>
  <c r="I22" i="2"/>
  <c r="K22" i="2" s="1"/>
  <c r="H22" i="2"/>
  <c r="G22" i="2"/>
  <c r="K21" i="2"/>
  <c r="J21" i="2"/>
  <c r="I21" i="2"/>
  <c r="H21" i="2"/>
  <c r="G21" i="2"/>
  <c r="J20" i="2"/>
  <c r="I20" i="2"/>
  <c r="K20" i="2" s="1"/>
  <c r="H20" i="2"/>
  <c r="G20" i="2"/>
  <c r="J19" i="2"/>
  <c r="K19" i="2" s="1"/>
  <c r="I19" i="2"/>
  <c r="H19" i="2"/>
  <c r="G19" i="2"/>
  <c r="K18" i="2"/>
  <c r="J18" i="2"/>
  <c r="I18" i="2"/>
  <c r="H18" i="2"/>
  <c r="G18" i="2"/>
  <c r="J17" i="2"/>
  <c r="K17" i="2" s="1"/>
  <c r="I17" i="2"/>
  <c r="H17" i="2"/>
  <c r="G17" i="2"/>
  <c r="J16" i="2"/>
  <c r="K16" i="2" s="1"/>
  <c r="I16" i="2"/>
  <c r="H16" i="2"/>
  <c r="G16" i="2"/>
  <c r="J15" i="2"/>
  <c r="K15" i="2" s="1"/>
  <c r="I15" i="2"/>
  <c r="H15" i="2"/>
  <c r="G15" i="2"/>
  <c r="J14" i="2"/>
  <c r="I14" i="2"/>
  <c r="K14" i="2" s="1"/>
  <c r="H14" i="2"/>
  <c r="G14" i="2"/>
  <c r="K13" i="2"/>
  <c r="J13" i="2"/>
  <c r="I13" i="2"/>
  <c r="H13" i="2"/>
  <c r="G13" i="2"/>
  <c r="J12" i="2"/>
  <c r="I12" i="2"/>
  <c r="K12" i="2" s="1"/>
  <c r="H12" i="2"/>
  <c r="G12" i="2"/>
  <c r="J11" i="2"/>
  <c r="K11" i="2" s="1"/>
  <c r="I11" i="2"/>
  <c r="H11" i="2"/>
  <c r="G11" i="2"/>
  <c r="K10" i="2"/>
  <c r="J10" i="2"/>
  <c r="I10" i="2"/>
  <c r="H10" i="2"/>
  <c r="G10" i="2"/>
  <c r="J9" i="2"/>
  <c r="K9" i="2" s="1"/>
  <c r="I9" i="2"/>
  <c r="H9" i="2"/>
  <c r="G9" i="2"/>
  <c r="J8" i="2"/>
  <c r="K8" i="2" s="1"/>
  <c r="I8" i="2"/>
  <c r="H8" i="2"/>
  <c r="G8" i="2"/>
  <c r="J7" i="2"/>
  <c r="K7" i="2" s="1"/>
  <c r="I7" i="2"/>
  <c r="H7" i="2"/>
  <c r="G7" i="2"/>
  <c r="J6" i="2"/>
  <c r="I6" i="2"/>
  <c r="K6" i="2" s="1"/>
  <c r="H6" i="2"/>
  <c r="G6" i="2"/>
  <c r="K5" i="2"/>
  <c r="J5" i="2"/>
  <c r="I5" i="2"/>
  <c r="H5" i="2"/>
  <c r="G5" i="2"/>
  <c r="J191" i="1"/>
  <c r="I191" i="1"/>
  <c r="K191" i="1" s="1"/>
  <c r="H191" i="1"/>
  <c r="G191" i="1"/>
  <c r="J190" i="1"/>
  <c r="K190" i="1" s="1"/>
  <c r="I190" i="1"/>
  <c r="H190" i="1"/>
  <c r="G190" i="1"/>
  <c r="K189" i="1"/>
  <c r="J189" i="1"/>
  <c r="I189" i="1"/>
  <c r="H189" i="1"/>
  <c r="G189" i="1"/>
  <c r="J188" i="1"/>
  <c r="K188" i="1" s="1"/>
  <c r="I188" i="1"/>
  <c r="H188" i="1"/>
  <c r="G188" i="1"/>
  <c r="J187" i="1"/>
  <c r="K187" i="1" s="1"/>
  <c r="I187" i="1"/>
  <c r="H187" i="1"/>
  <c r="G187" i="1"/>
  <c r="J186" i="1"/>
  <c r="K186" i="1" s="1"/>
  <c r="I186" i="1"/>
  <c r="H186" i="1"/>
  <c r="G186" i="1"/>
  <c r="J185" i="1"/>
  <c r="I185" i="1"/>
  <c r="K185" i="1" s="1"/>
  <c r="H185" i="1"/>
  <c r="G185" i="1"/>
  <c r="K184" i="1"/>
  <c r="J184" i="1"/>
  <c r="I184" i="1"/>
  <c r="H184" i="1"/>
  <c r="G184" i="1"/>
  <c r="J183" i="1"/>
  <c r="I183" i="1"/>
  <c r="K183" i="1" s="1"/>
  <c r="H183" i="1"/>
  <c r="G183" i="1"/>
  <c r="J182" i="1"/>
  <c r="K182" i="1" s="1"/>
  <c r="I182" i="1"/>
  <c r="H182" i="1"/>
  <c r="G182" i="1"/>
  <c r="K181" i="1"/>
  <c r="J181" i="1"/>
  <c r="I181" i="1"/>
  <c r="H181" i="1"/>
  <c r="G181" i="1"/>
  <c r="J180" i="1"/>
  <c r="K180" i="1" s="1"/>
  <c r="I180" i="1"/>
  <c r="H180" i="1"/>
  <c r="G180" i="1"/>
  <c r="J179" i="1"/>
  <c r="K179" i="1" s="1"/>
  <c r="I179" i="1"/>
  <c r="H179" i="1"/>
  <c r="G179" i="1"/>
  <c r="J178" i="1"/>
  <c r="K178" i="1" s="1"/>
  <c r="I178" i="1"/>
  <c r="H178" i="1"/>
  <c r="G178" i="1"/>
  <c r="J177" i="1"/>
  <c r="I177" i="1"/>
  <c r="K177" i="1" s="1"/>
  <c r="H177" i="1"/>
  <c r="G177" i="1"/>
  <c r="K176" i="1"/>
  <c r="J176" i="1"/>
  <c r="I176" i="1"/>
  <c r="H176" i="1"/>
  <c r="G176" i="1"/>
  <c r="J175" i="1"/>
  <c r="I175" i="1"/>
  <c r="K175" i="1" s="1"/>
  <c r="H175" i="1"/>
  <c r="G175" i="1"/>
  <c r="J174" i="1"/>
  <c r="K174" i="1" s="1"/>
  <c r="I174" i="1"/>
  <c r="H174" i="1"/>
  <c r="G174" i="1"/>
  <c r="K173" i="1"/>
  <c r="J173" i="1"/>
  <c r="I173" i="1"/>
  <c r="H173" i="1"/>
  <c r="G173" i="1"/>
  <c r="J172" i="1"/>
  <c r="K172" i="1" s="1"/>
  <c r="I172" i="1"/>
  <c r="H172" i="1"/>
  <c r="G172" i="1"/>
  <c r="J171" i="1"/>
  <c r="K171" i="1" s="1"/>
  <c r="I171" i="1"/>
  <c r="H171" i="1"/>
  <c r="G171" i="1"/>
  <c r="J170" i="1"/>
  <c r="K170" i="1" s="1"/>
  <c r="I170" i="1"/>
  <c r="H170" i="1"/>
  <c r="G170" i="1"/>
  <c r="J169" i="1"/>
  <c r="I169" i="1"/>
  <c r="K169" i="1" s="1"/>
  <c r="H169" i="1"/>
  <c r="G169" i="1"/>
  <c r="K168" i="1"/>
  <c r="J168" i="1"/>
  <c r="I168" i="1"/>
  <c r="H168" i="1"/>
  <c r="G168" i="1"/>
  <c r="J167" i="1"/>
  <c r="I167" i="1"/>
  <c r="K167" i="1" s="1"/>
  <c r="H167" i="1"/>
  <c r="G167" i="1"/>
  <c r="J166" i="1"/>
  <c r="K166" i="1" s="1"/>
  <c r="I166" i="1"/>
  <c r="H166" i="1"/>
  <c r="G166" i="1"/>
  <c r="K165" i="1"/>
  <c r="J165" i="1"/>
  <c r="I165" i="1"/>
  <c r="H165" i="1"/>
  <c r="G165" i="1"/>
  <c r="J164" i="1"/>
  <c r="K164" i="1" s="1"/>
  <c r="I164" i="1"/>
  <c r="H164" i="1"/>
  <c r="G164" i="1"/>
  <c r="J163" i="1"/>
  <c r="K163" i="1" s="1"/>
  <c r="I163" i="1"/>
  <c r="H163" i="1"/>
  <c r="G163" i="1"/>
  <c r="J162" i="1"/>
  <c r="K162" i="1" s="1"/>
  <c r="I162" i="1"/>
  <c r="H162" i="1"/>
  <c r="G162" i="1"/>
  <c r="J161" i="1"/>
  <c r="I161" i="1"/>
  <c r="K161" i="1" s="1"/>
  <c r="H161" i="1"/>
  <c r="G161" i="1"/>
  <c r="K160" i="1"/>
  <c r="J160" i="1"/>
  <c r="I160" i="1"/>
  <c r="H160" i="1"/>
  <c r="G160" i="1"/>
  <c r="J159" i="1"/>
  <c r="I159" i="1"/>
  <c r="K159" i="1" s="1"/>
  <c r="H159" i="1"/>
  <c r="G159" i="1"/>
  <c r="J158" i="1"/>
  <c r="K158" i="1" s="1"/>
  <c r="I158" i="1"/>
  <c r="H158" i="1"/>
  <c r="G158" i="1"/>
  <c r="K157" i="1"/>
  <c r="J157" i="1"/>
  <c r="I157" i="1"/>
  <c r="H157" i="1"/>
  <c r="G157" i="1"/>
  <c r="J156" i="1"/>
  <c r="K156" i="1" s="1"/>
  <c r="I156" i="1"/>
  <c r="H156" i="1"/>
  <c r="G156" i="1"/>
  <c r="J155" i="1"/>
  <c r="K155" i="1" s="1"/>
  <c r="I155" i="1"/>
  <c r="H155" i="1"/>
  <c r="G155" i="1"/>
  <c r="J154" i="1"/>
  <c r="K154" i="1" s="1"/>
  <c r="I154" i="1"/>
  <c r="H154" i="1"/>
  <c r="G154" i="1"/>
  <c r="J153" i="1"/>
  <c r="I153" i="1"/>
  <c r="K153" i="1" s="1"/>
  <c r="H153" i="1"/>
  <c r="G153" i="1"/>
  <c r="K152" i="1"/>
  <c r="J152" i="1"/>
  <c r="I152" i="1"/>
  <c r="H152" i="1"/>
  <c r="G152" i="1"/>
  <c r="J151" i="1"/>
  <c r="I151" i="1"/>
  <c r="K151" i="1" s="1"/>
  <c r="H151" i="1"/>
  <c r="G151" i="1"/>
  <c r="J150" i="1"/>
  <c r="K150" i="1" s="1"/>
  <c r="I150" i="1"/>
  <c r="H150" i="1"/>
  <c r="G150" i="1"/>
  <c r="K149" i="1"/>
  <c r="J149" i="1"/>
  <c r="I149" i="1"/>
  <c r="H149" i="1"/>
  <c r="G149" i="1"/>
  <c r="J148" i="1"/>
  <c r="K148" i="1" s="1"/>
  <c r="I148" i="1"/>
  <c r="H148" i="1"/>
  <c r="G148" i="1"/>
  <c r="J147" i="1"/>
  <c r="K147" i="1" s="1"/>
  <c r="I147" i="1"/>
  <c r="H147" i="1"/>
  <c r="G147" i="1"/>
  <c r="J146" i="1"/>
  <c r="K146" i="1" s="1"/>
  <c r="I146" i="1"/>
  <c r="H146" i="1"/>
  <c r="G146" i="1"/>
  <c r="J145" i="1"/>
  <c r="I145" i="1"/>
  <c r="K145" i="1" s="1"/>
  <c r="H145" i="1"/>
  <c r="G145" i="1"/>
  <c r="K144" i="1"/>
  <c r="J144" i="1"/>
  <c r="I144" i="1"/>
  <c r="H144" i="1"/>
  <c r="G144" i="1"/>
  <c r="J143" i="1"/>
  <c r="I143" i="1"/>
  <c r="K143" i="1" s="1"/>
  <c r="H143" i="1"/>
  <c r="G143" i="1"/>
  <c r="J142" i="1"/>
  <c r="K142" i="1" s="1"/>
  <c r="I142" i="1"/>
  <c r="H142" i="1"/>
  <c r="G142" i="1"/>
  <c r="K141" i="1"/>
  <c r="J141" i="1"/>
  <c r="I141" i="1"/>
  <c r="H141" i="1"/>
  <c r="G141" i="1"/>
  <c r="J140" i="1"/>
  <c r="K140" i="1" s="1"/>
  <c r="I140" i="1"/>
  <c r="H140" i="1"/>
  <c r="G140" i="1"/>
  <c r="J139" i="1"/>
  <c r="K139" i="1" s="1"/>
  <c r="I139" i="1"/>
  <c r="H139" i="1"/>
  <c r="G139" i="1"/>
  <c r="J138" i="1"/>
  <c r="K138" i="1" s="1"/>
  <c r="I138" i="1"/>
  <c r="H138" i="1"/>
  <c r="G138" i="1"/>
  <c r="J137" i="1"/>
  <c r="I137" i="1"/>
  <c r="K137" i="1" s="1"/>
  <c r="H137" i="1"/>
  <c r="G137" i="1"/>
  <c r="K136" i="1"/>
  <c r="J136" i="1"/>
  <c r="I136" i="1"/>
  <c r="H136" i="1"/>
  <c r="G136" i="1"/>
  <c r="J135" i="1"/>
  <c r="I135" i="1"/>
  <c r="K135" i="1" s="1"/>
  <c r="H135" i="1"/>
  <c r="G135" i="1"/>
  <c r="J134" i="1"/>
  <c r="K134" i="1" s="1"/>
  <c r="I134" i="1"/>
  <c r="H134" i="1"/>
  <c r="G134" i="1"/>
  <c r="K133" i="1"/>
  <c r="J133" i="1"/>
  <c r="I133" i="1"/>
  <c r="H133" i="1"/>
  <c r="G133" i="1"/>
  <c r="J132" i="1"/>
  <c r="K132" i="1" s="1"/>
  <c r="I132" i="1"/>
  <c r="H132" i="1"/>
  <c r="G132" i="1"/>
  <c r="J131" i="1"/>
  <c r="K131" i="1" s="1"/>
  <c r="I131" i="1"/>
  <c r="H131" i="1"/>
  <c r="G131" i="1"/>
  <c r="J130" i="1"/>
  <c r="K130" i="1" s="1"/>
  <c r="I130" i="1"/>
  <c r="H130" i="1"/>
  <c r="G130" i="1"/>
  <c r="J129" i="1"/>
  <c r="I129" i="1"/>
  <c r="K129" i="1" s="1"/>
  <c r="H129" i="1"/>
  <c r="G129" i="1"/>
  <c r="K128" i="1"/>
  <c r="J128" i="1"/>
  <c r="I128" i="1"/>
  <c r="H128" i="1"/>
  <c r="G128" i="1"/>
  <c r="J127" i="1"/>
  <c r="I127" i="1"/>
  <c r="K127" i="1" s="1"/>
  <c r="H127" i="1"/>
  <c r="G127" i="1"/>
  <c r="J126" i="1"/>
  <c r="K126" i="1" s="1"/>
  <c r="I126" i="1"/>
  <c r="H126" i="1"/>
  <c r="G126" i="1"/>
  <c r="K125" i="1"/>
  <c r="J125" i="1"/>
  <c r="I125" i="1"/>
  <c r="H125" i="1"/>
  <c r="G125" i="1"/>
  <c r="J124" i="1"/>
  <c r="K124" i="1" s="1"/>
  <c r="I124" i="1"/>
  <c r="H124" i="1"/>
  <c r="G124" i="1"/>
  <c r="J123" i="1"/>
  <c r="K123" i="1" s="1"/>
  <c r="I123" i="1"/>
  <c r="H123" i="1"/>
  <c r="G123" i="1"/>
  <c r="J122" i="1"/>
  <c r="K122" i="1" s="1"/>
  <c r="I122" i="1"/>
  <c r="H122" i="1"/>
  <c r="G122" i="1"/>
  <c r="J121" i="1"/>
  <c r="I121" i="1"/>
  <c r="K121" i="1" s="1"/>
  <c r="H121" i="1"/>
  <c r="G121" i="1"/>
  <c r="K120" i="1"/>
  <c r="J120" i="1"/>
  <c r="I120" i="1"/>
  <c r="H120" i="1"/>
  <c r="G120" i="1"/>
  <c r="J119" i="1"/>
  <c r="I119" i="1"/>
  <c r="K119" i="1" s="1"/>
  <c r="H119" i="1"/>
  <c r="G119" i="1"/>
  <c r="J118" i="1"/>
  <c r="K118" i="1" s="1"/>
  <c r="I118" i="1"/>
  <c r="H118" i="1"/>
  <c r="G118" i="1"/>
  <c r="K117" i="1"/>
  <c r="J117" i="1"/>
  <c r="I117" i="1"/>
  <c r="H117" i="1"/>
  <c r="G117" i="1"/>
  <c r="J116" i="1"/>
  <c r="K116" i="1" s="1"/>
  <c r="I116" i="1"/>
  <c r="H116" i="1"/>
  <c r="G116" i="1"/>
  <c r="J115" i="1"/>
  <c r="K115" i="1" s="1"/>
  <c r="I115" i="1"/>
  <c r="H115" i="1"/>
  <c r="G115" i="1"/>
  <c r="J114" i="1"/>
  <c r="K114" i="1" s="1"/>
  <c r="I114" i="1"/>
  <c r="H114" i="1"/>
  <c r="G114" i="1"/>
  <c r="J113" i="1"/>
  <c r="I113" i="1"/>
  <c r="K113" i="1" s="1"/>
  <c r="H113" i="1"/>
  <c r="G113" i="1"/>
  <c r="K112" i="1"/>
  <c r="J112" i="1"/>
  <c r="I112" i="1"/>
  <c r="H112" i="1"/>
  <c r="G112" i="1"/>
  <c r="J111" i="1"/>
  <c r="I111" i="1"/>
  <c r="K111" i="1" s="1"/>
  <c r="H111" i="1"/>
  <c r="G111" i="1"/>
  <c r="J110" i="1"/>
  <c r="K110" i="1" s="1"/>
  <c r="I110" i="1"/>
  <c r="H110" i="1"/>
  <c r="G110" i="1"/>
  <c r="K109" i="1"/>
  <c r="J109" i="1"/>
  <c r="I109" i="1"/>
  <c r="H109" i="1"/>
  <c r="G109" i="1"/>
  <c r="J108" i="1"/>
  <c r="K108" i="1" s="1"/>
  <c r="I108" i="1"/>
  <c r="H108" i="1"/>
  <c r="G108" i="1"/>
  <c r="J107" i="1"/>
  <c r="K107" i="1" s="1"/>
  <c r="I107" i="1"/>
  <c r="H107" i="1"/>
  <c r="G107" i="1"/>
  <c r="J106" i="1"/>
  <c r="K106" i="1" s="1"/>
  <c r="I106" i="1"/>
  <c r="H106" i="1"/>
  <c r="G106" i="1"/>
  <c r="J105" i="1"/>
  <c r="I105" i="1"/>
  <c r="K105" i="1" s="1"/>
  <c r="H105" i="1"/>
  <c r="G105" i="1"/>
  <c r="K104" i="1"/>
  <c r="J104" i="1"/>
  <c r="I104" i="1"/>
  <c r="H104" i="1"/>
  <c r="G104" i="1"/>
  <c r="J103" i="1"/>
  <c r="I103" i="1"/>
  <c r="K103" i="1" s="1"/>
  <c r="H103" i="1"/>
  <c r="G103" i="1"/>
  <c r="J102" i="1"/>
  <c r="K102" i="1" s="1"/>
  <c r="I102" i="1"/>
  <c r="H102" i="1"/>
  <c r="G102" i="1"/>
  <c r="K101" i="1"/>
  <c r="J101" i="1"/>
  <c r="I101" i="1"/>
  <c r="H101" i="1"/>
  <c r="G101" i="1"/>
  <c r="J100" i="1"/>
  <c r="K100" i="1" s="1"/>
  <c r="I100" i="1"/>
  <c r="H100" i="1"/>
  <c r="G100" i="1"/>
  <c r="J99" i="1"/>
  <c r="K99" i="1" s="1"/>
  <c r="I99" i="1"/>
  <c r="H99" i="1"/>
  <c r="G99" i="1"/>
  <c r="J98" i="1"/>
  <c r="K98" i="1" s="1"/>
  <c r="I98" i="1"/>
  <c r="H98" i="1"/>
  <c r="G98" i="1"/>
  <c r="J97" i="1"/>
  <c r="I97" i="1"/>
  <c r="K97" i="1" s="1"/>
  <c r="H97" i="1"/>
  <c r="G97" i="1"/>
  <c r="K96" i="1"/>
  <c r="J96" i="1"/>
  <c r="I96" i="1"/>
  <c r="H96" i="1"/>
  <c r="G96" i="1"/>
  <c r="J95" i="1"/>
  <c r="I95" i="1"/>
  <c r="K95" i="1" s="1"/>
  <c r="H95" i="1"/>
  <c r="G95" i="1"/>
  <c r="J94" i="1"/>
  <c r="K94" i="1" s="1"/>
  <c r="I94" i="1"/>
  <c r="H94" i="1"/>
  <c r="G94" i="1"/>
  <c r="K93" i="1"/>
  <c r="J93" i="1"/>
  <c r="I93" i="1"/>
  <c r="H93" i="1"/>
  <c r="G93" i="1"/>
  <c r="J92" i="1"/>
  <c r="K92" i="1" s="1"/>
  <c r="I92" i="1"/>
  <c r="H92" i="1"/>
  <c r="G92" i="1"/>
  <c r="J91" i="1"/>
  <c r="K91" i="1" s="1"/>
  <c r="I91" i="1"/>
  <c r="H91" i="1"/>
  <c r="G91" i="1"/>
  <c r="J90" i="1"/>
  <c r="K90" i="1" s="1"/>
  <c r="I90" i="1"/>
  <c r="H90" i="1"/>
  <c r="G90" i="1"/>
  <c r="J89" i="1"/>
  <c r="I89" i="1"/>
  <c r="K89" i="1" s="1"/>
  <c r="H89" i="1"/>
  <c r="G89" i="1"/>
  <c r="K88" i="1"/>
  <c r="J88" i="1"/>
  <c r="I88" i="1"/>
  <c r="H88" i="1"/>
  <c r="G88" i="1"/>
  <c r="J87" i="1"/>
  <c r="I87" i="1"/>
  <c r="K87" i="1" s="1"/>
  <c r="H87" i="1"/>
  <c r="G87" i="1"/>
  <c r="J86" i="1"/>
  <c r="K86" i="1" s="1"/>
  <c r="I86" i="1"/>
  <c r="H86" i="1"/>
  <c r="G86" i="1"/>
  <c r="K85" i="1"/>
  <c r="J85" i="1"/>
  <c r="I85" i="1"/>
  <c r="H85" i="1"/>
  <c r="G85" i="1"/>
  <c r="J84" i="1"/>
  <c r="K84" i="1" s="1"/>
  <c r="I84" i="1"/>
  <c r="H84" i="1"/>
  <c r="G84" i="1"/>
  <c r="J83" i="1"/>
  <c r="K83" i="1" s="1"/>
  <c r="I83" i="1"/>
  <c r="H83" i="1"/>
  <c r="G83" i="1"/>
  <c r="J82" i="1"/>
  <c r="K82" i="1" s="1"/>
  <c r="I82" i="1"/>
  <c r="H82" i="1"/>
  <c r="G82" i="1"/>
  <c r="J81" i="1"/>
  <c r="I81" i="1"/>
  <c r="K81" i="1" s="1"/>
  <c r="H81" i="1"/>
  <c r="G81" i="1"/>
  <c r="K80" i="1"/>
  <c r="J80" i="1"/>
  <c r="I80" i="1"/>
  <c r="H80" i="1"/>
  <c r="G80" i="1"/>
  <c r="J79" i="1"/>
  <c r="I79" i="1"/>
  <c r="K79" i="1" s="1"/>
  <c r="H79" i="1"/>
  <c r="G79" i="1"/>
  <c r="J78" i="1"/>
  <c r="K78" i="1" s="1"/>
  <c r="I78" i="1"/>
  <c r="H78" i="1"/>
  <c r="G78" i="1"/>
  <c r="K77" i="1"/>
  <c r="J77" i="1"/>
  <c r="I77" i="1"/>
  <c r="H77" i="1"/>
  <c r="G77" i="1"/>
  <c r="J76" i="1"/>
  <c r="K76" i="1" s="1"/>
  <c r="I76" i="1"/>
  <c r="H76" i="1"/>
  <c r="G76" i="1"/>
  <c r="J75" i="1"/>
  <c r="K75" i="1" s="1"/>
  <c r="I75" i="1"/>
  <c r="H75" i="1"/>
  <c r="G75" i="1"/>
  <c r="J74" i="1"/>
  <c r="K74" i="1" s="1"/>
  <c r="I74" i="1"/>
  <c r="H74" i="1"/>
  <c r="G74" i="1"/>
  <c r="J73" i="1"/>
  <c r="I73" i="1"/>
  <c r="K73" i="1" s="1"/>
  <c r="H73" i="1"/>
  <c r="G73" i="1"/>
  <c r="K72" i="1"/>
  <c r="J72" i="1"/>
  <c r="I72" i="1"/>
  <c r="H72" i="1"/>
  <c r="G72" i="1"/>
  <c r="J71" i="1"/>
  <c r="I71" i="1"/>
  <c r="K71" i="1" s="1"/>
  <c r="H71" i="1"/>
  <c r="G71" i="1"/>
  <c r="J70" i="1"/>
  <c r="K70" i="1" s="1"/>
  <c r="I70" i="1"/>
  <c r="H70" i="1"/>
  <c r="G70" i="1"/>
  <c r="K69" i="1"/>
  <c r="J69" i="1"/>
  <c r="I69" i="1"/>
  <c r="H69" i="1"/>
  <c r="G69" i="1"/>
  <c r="J68" i="1"/>
  <c r="K68" i="1" s="1"/>
  <c r="I68" i="1"/>
  <c r="H68" i="1"/>
  <c r="G68" i="1"/>
  <c r="J67" i="1"/>
  <c r="K67" i="1" s="1"/>
  <c r="I67" i="1"/>
  <c r="H67" i="1"/>
  <c r="G67" i="1"/>
  <c r="J66" i="1"/>
  <c r="K66" i="1" s="1"/>
  <c r="I66" i="1"/>
  <c r="H66" i="1"/>
  <c r="G66" i="1"/>
  <c r="J65" i="1"/>
  <c r="I65" i="1"/>
  <c r="K65" i="1" s="1"/>
  <c r="H65" i="1"/>
  <c r="G65" i="1"/>
  <c r="K64" i="1"/>
  <c r="J64" i="1"/>
  <c r="I64" i="1"/>
  <c r="H64" i="1"/>
  <c r="G64" i="1"/>
  <c r="J63" i="1"/>
  <c r="I63" i="1"/>
  <c r="K63" i="1" s="1"/>
  <c r="H63" i="1"/>
  <c r="G63" i="1"/>
  <c r="J62" i="1"/>
  <c r="K62" i="1" s="1"/>
  <c r="I62" i="1"/>
  <c r="H62" i="1"/>
  <c r="G62" i="1"/>
  <c r="K61" i="1"/>
  <c r="J61" i="1"/>
  <c r="I61" i="1"/>
  <c r="H61" i="1"/>
  <c r="G61" i="1"/>
  <c r="J60" i="1"/>
  <c r="K60" i="1" s="1"/>
  <c r="I60" i="1"/>
  <c r="H60" i="1"/>
  <c r="G60" i="1"/>
  <c r="J59" i="1"/>
  <c r="K59" i="1" s="1"/>
  <c r="I59" i="1"/>
  <c r="H59" i="1"/>
  <c r="G59" i="1"/>
  <c r="J58" i="1"/>
  <c r="K58" i="1" s="1"/>
  <c r="I58" i="1"/>
  <c r="H58" i="1"/>
  <c r="G58" i="1"/>
  <c r="J57" i="1"/>
  <c r="I57" i="1"/>
  <c r="K57" i="1" s="1"/>
  <c r="H57" i="1"/>
  <c r="G57" i="1"/>
  <c r="K56" i="1"/>
  <c r="J56" i="1"/>
  <c r="I56" i="1"/>
  <c r="H56" i="1"/>
  <c r="G56" i="1"/>
  <c r="J55" i="1"/>
  <c r="I55" i="1"/>
  <c r="K55" i="1" s="1"/>
  <c r="H55" i="1"/>
  <c r="G55" i="1"/>
  <c r="J54" i="1"/>
  <c r="K54" i="1" s="1"/>
  <c r="I54" i="1"/>
  <c r="H54" i="1"/>
  <c r="G54" i="1"/>
  <c r="K53" i="1"/>
  <c r="J53" i="1"/>
  <c r="I53" i="1"/>
  <c r="H53" i="1"/>
  <c r="G53" i="1"/>
  <c r="J52" i="1"/>
  <c r="K52" i="1" s="1"/>
  <c r="I52" i="1"/>
  <c r="H52" i="1"/>
  <c r="G52" i="1"/>
  <c r="J51" i="1"/>
  <c r="K51" i="1" s="1"/>
  <c r="I51" i="1"/>
  <c r="H51" i="1"/>
  <c r="G51" i="1"/>
  <c r="J50" i="1"/>
  <c r="K50" i="1" s="1"/>
  <c r="I50" i="1"/>
  <c r="H50" i="1"/>
  <c r="G50" i="1"/>
  <c r="J49" i="1"/>
  <c r="I49" i="1"/>
  <c r="K49" i="1" s="1"/>
  <c r="H49" i="1"/>
  <c r="G49" i="1"/>
  <c r="K48" i="1"/>
  <c r="J48" i="1"/>
  <c r="I48" i="1"/>
  <c r="H48" i="1"/>
  <c r="G48" i="1"/>
  <c r="J47" i="1"/>
  <c r="I47" i="1"/>
  <c r="K47" i="1" s="1"/>
  <c r="H47" i="1"/>
  <c r="G47" i="1"/>
  <c r="J46" i="1"/>
  <c r="K46" i="1" s="1"/>
  <c r="I46" i="1"/>
  <c r="H46" i="1"/>
  <c r="G46" i="1"/>
  <c r="K45" i="1"/>
  <c r="J45" i="1"/>
  <c r="I45" i="1"/>
  <c r="H45" i="1"/>
  <c r="G45" i="1"/>
  <c r="J44" i="1"/>
  <c r="K44" i="1" s="1"/>
  <c r="I44" i="1"/>
  <c r="H44" i="1"/>
  <c r="G44" i="1"/>
  <c r="J43" i="1"/>
  <c r="K43" i="1" s="1"/>
  <c r="I43" i="1"/>
  <c r="H43" i="1"/>
  <c r="G43" i="1"/>
  <c r="J42" i="1"/>
  <c r="K42" i="1" s="1"/>
  <c r="I42" i="1"/>
  <c r="H42" i="1"/>
  <c r="G42" i="1"/>
  <c r="J41" i="1"/>
  <c r="I41" i="1"/>
  <c r="K41" i="1" s="1"/>
  <c r="H41" i="1"/>
  <c r="G41" i="1"/>
  <c r="K40" i="1"/>
  <c r="J40" i="1"/>
  <c r="I40" i="1"/>
  <c r="H40" i="1"/>
  <c r="G40" i="1"/>
  <c r="J39" i="1"/>
  <c r="I39" i="1"/>
  <c r="K39" i="1" s="1"/>
  <c r="H39" i="1"/>
  <c r="G39" i="1"/>
  <c r="J38" i="1"/>
  <c r="K38" i="1" s="1"/>
  <c r="I38" i="1"/>
  <c r="H38" i="1"/>
  <c r="G38" i="1"/>
  <c r="K37" i="1"/>
  <c r="J37" i="1"/>
  <c r="I37" i="1"/>
  <c r="H37" i="1"/>
  <c r="G37" i="1"/>
  <c r="J36" i="1"/>
  <c r="K36" i="1" s="1"/>
  <c r="I36" i="1"/>
  <c r="H36" i="1"/>
  <c r="G36" i="1"/>
  <c r="J35" i="1"/>
  <c r="K35" i="1" s="1"/>
  <c r="I35" i="1"/>
  <c r="H35" i="1"/>
  <c r="G35" i="1"/>
  <c r="J34" i="1"/>
  <c r="K34" i="1" s="1"/>
  <c r="I34" i="1"/>
  <c r="H34" i="1"/>
  <c r="G34" i="1"/>
  <c r="J33" i="1"/>
  <c r="I33" i="1"/>
  <c r="K33" i="1" s="1"/>
  <c r="H33" i="1"/>
  <c r="G33" i="1"/>
  <c r="K32" i="1"/>
  <c r="J32" i="1"/>
  <c r="I32" i="1"/>
  <c r="H32" i="1"/>
  <c r="G32" i="1"/>
  <c r="J31" i="1"/>
  <c r="I31" i="1"/>
  <c r="K31" i="1" s="1"/>
  <c r="H31" i="1"/>
  <c r="G31" i="1"/>
  <c r="J30" i="1"/>
  <c r="K30" i="1" s="1"/>
  <c r="I30" i="1"/>
  <c r="H30" i="1"/>
  <c r="G30" i="1"/>
  <c r="K29" i="1"/>
  <c r="J29" i="1"/>
  <c r="I29" i="1"/>
  <c r="H29" i="1"/>
  <c r="G29" i="1"/>
  <c r="J28" i="1"/>
  <c r="K28" i="1" s="1"/>
  <c r="I28" i="1"/>
  <c r="H28" i="1"/>
  <c r="G28" i="1"/>
  <c r="J27" i="1"/>
  <c r="K27" i="1" s="1"/>
  <c r="I27" i="1"/>
  <c r="H27" i="1"/>
  <c r="G27" i="1"/>
  <c r="J26" i="1"/>
  <c r="K26" i="1" s="1"/>
  <c r="I26" i="1"/>
  <c r="H26" i="1"/>
  <c r="G26" i="1"/>
  <c r="J25" i="1"/>
  <c r="I25" i="1"/>
  <c r="K25" i="1" s="1"/>
  <c r="H25" i="1"/>
  <c r="G25" i="1"/>
  <c r="K24" i="1"/>
  <c r="J24" i="1"/>
  <c r="I24" i="1"/>
  <c r="H24" i="1"/>
  <c r="G24" i="1"/>
  <c r="J23" i="1"/>
  <c r="I23" i="1"/>
  <c r="K23" i="1" s="1"/>
  <c r="H23" i="1"/>
  <c r="G23" i="1"/>
  <c r="J22" i="1"/>
  <c r="K22" i="1" s="1"/>
  <c r="I22" i="1"/>
  <c r="H22" i="1"/>
  <c r="G22" i="1"/>
  <c r="K21" i="1"/>
  <c r="J21" i="1"/>
  <c r="I21" i="1"/>
  <c r="H21" i="1"/>
  <c r="G21" i="1"/>
  <c r="J20" i="1"/>
  <c r="K20" i="1" s="1"/>
  <c r="I20" i="1"/>
  <c r="H20" i="1"/>
  <c r="G20" i="1"/>
  <c r="J19" i="1"/>
  <c r="K19" i="1" s="1"/>
  <c r="I19" i="1"/>
  <c r="H19" i="1"/>
  <c r="G19" i="1"/>
  <c r="J18" i="1"/>
  <c r="K18" i="1" s="1"/>
  <c r="I18" i="1"/>
  <c r="H18" i="1"/>
  <c r="G18" i="1"/>
  <c r="J17" i="1"/>
  <c r="I17" i="1"/>
  <c r="K17" i="1" s="1"/>
  <c r="H17" i="1"/>
  <c r="G17" i="1"/>
  <c r="K16" i="1"/>
  <c r="J16" i="1"/>
  <c r="I16" i="1"/>
  <c r="H16" i="1"/>
  <c r="G16" i="1"/>
  <c r="J15" i="1"/>
  <c r="I15" i="1"/>
  <c r="K15" i="1" s="1"/>
  <c r="H15" i="1"/>
  <c r="G15" i="1"/>
  <c r="J14" i="1"/>
  <c r="K14" i="1" s="1"/>
  <c r="I14" i="1"/>
  <c r="H14" i="1"/>
  <c r="G14" i="1"/>
  <c r="K13" i="1"/>
  <c r="J13" i="1"/>
  <c r="I13" i="1"/>
  <c r="H13" i="1"/>
  <c r="G13" i="1"/>
  <c r="J12" i="1"/>
  <c r="K12" i="1" s="1"/>
  <c r="I12" i="1"/>
  <c r="H12" i="1"/>
  <c r="G12" i="1"/>
  <c r="J11" i="1"/>
  <c r="K11" i="1" s="1"/>
  <c r="I11" i="1"/>
  <c r="H11" i="1"/>
  <c r="G11" i="1"/>
  <c r="J10" i="1"/>
  <c r="K10" i="1" s="1"/>
  <c r="I10" i="1"/>
  <c r="H10" i="1"/>
  <c r="G10" i="1"/>
  <c r="J9" i="1"/>
  <c r="I9" i="1"/>
  <c r="K9" i="1" s="1"/>
  <c r="H9" i="1"/>
  <c r="G9" i="1"/>
  <c r="K8" i="1"/>
  <c r="J8" i="1"/>
  <c r="I8" i="1"/>
  <c r="H8" i="1"/>
  <c r="G8" i="1"/>
  <c r="J7" i="1"/>
  <c r="I7" i="1"/>
  <c r="K7" i="1" s="1"/>
  <c r="H7" i="1"/>
  <c r="G7" i="1"/>
  <c r="J6" i="1"/>
  <c r="K6" i="1" s="1"/>
  <c r="I6" i="1"/>
  <c r="H6" i="1"/>
  <c r="G6" i="1"/>
  <c r="K5" i="1"/>
  <c r="J5" i="1"/>
  <c r="I5" i="1"/>
  <c r="H5" i="1"/>
  <c r="G5" i="1"/>
  <c r="K137" i="2" l="1"/>
  <c r="K51" i="2"/>
  <c r="K136" i="2"/>
</calcChain>
</file>

<file path=xl/sharedStrings.xml><?xml version="1.0" encoding="utf-8"?>
<sst xmlns="http://schemas.openxmlformats.org/spreadsheetml/2006/main" count="1350" uniqueCount="749">
  <si>
    <t>📋 Тонометры — Журнал поверки приборов</t>
  </si>
  <si>
    <t>Сформировано: 19.03.2026 | Всего приборов: 187 шт.</t>
  </si>
  <si>
    <t>№</t>
  </si>
  <si>
    <t>Местонахождение (склад/вагон)</t>
  </si>
  <si>
    <t>Наименование прибора</t>
  </si>
  <si>
    <t>Инв. номер</t>
  </si>
  <si>
    <t>Тип прибора</t>
  </si>
  <si>
    <t>Дата истечения поверки</t>
  </si>
  <si>
    <t>Дата напоминания
(-2 месяца)</t>
  </si>
  <si>
    <t>Дата напоминания
(-1 месяц)</t>
  </si>
  <si>
    <t>Дата напоминания
(-7 дней)</t>
  </si>
  <si>
    <t>Дата напоминания
(-2 дня)</t>
  </si>
  <si>
    <t>Статус</t>
  </si>
  <si>
    <t>Примечание</t>
  </si>
  <si>
    <t>Ангаро-Ленское 28 ССК Том.фил. (ВАГОН 4561410)</t>
  </si>
  <si>
    <t>Тонометр А-23 B.Well s\n172405865 инв.№ИМ-00011590</t>
  </si>
  <si>
    <t>ИМ-00011590</t>
  </si>
  <si>
    <t>Тонометр</t>
  </si>
  <si>
    <t>Тонометр СиЭС CS-105 механический зав.№ 0322457911 инв № ИМ-00008213</t>
  </si>
  <si>
    <t>ИМ-00008213</t>
  </si>
  <si>
    <t>База Заполярная УТТ-Югра (ВАГОН 117) ИМ-000087</t>
  </si>
  <si>
    <t>Тонометр B. WELL362417950 инв.№ИМ-00011498</t>
  </si>
  <si>
    <t>ИМ-00011498</t>
  </si>
  <si>
    <t>Тонометр B.Well s/n 522440073 инв.№ИМ-00011907</t>
  </si>
  <si>
    <t>ИМ-00011907</t>
  </si>
  <si>
    <t>Тонометр CиЭс МЕДИКА CS-105 s/n 0223645429 инв № ИМ-00009240</t>
  </si>
  <si>
    <t>ИМ-00009240</t>
  </si>
  <si>
    <t>Тонометр автоматический MediTech МТ- 43 s/n 23 11 R 10651 инв.№ ИМ-00009727</t>
  </si>
  <si>
    <t>ИМ-00009727</t>
  </si>
  <si>
    <t>Восточно-Каменное 14 ССК Том.ф(ВАГОН SKLU 2442549)</t>
  </si>
  <si>
    <t>Тонометр B/WELL MED-63 зав 072455002 инв.№ИМ-00011237</t>
  </si>
  <si>
    <t>ИМ-00011237</t>
  </si>
  <si>
    <t>Тонометр BWELL MED-63 зав.№021906391</t>
  </si>
  <si>
    <t>ИМ-00002966</t>
  </si>
  <si>
    <t>Тонометр LD3а электронный s/n А20240803А 49069 инв. ИМ-00010923</t>
  </si>
  <si>
    <t>ИМ-00010923</t>
  </si>
  <si>
    <t>Тонометр МЕD-63 механический s/n 052420290 инв № ИМ-00010403</t>
  </si>
  <si>
    <t>ИМ-00010403</t>
  </si>
  <si>
    <t>Восточно-Мессояхское 1 ССК (ВАГОН 77) ИМ-000080</t>
  </si>
  <si>
    <t>Тонометр B.WELL А-23 зав.автомат № 262414959 инв № ИМ-00010546</t>
  </si>
  <si>
    <t>ИМ-00010546</t>
  </si>
  <si>
    <t>Тонометр механический AND UA-100 s/n В220312735</t>
  </si>
  <si>
    <t>ИМ-00008060</t>
  </si>
  <si>
    <t>Восточно-Мессояхское 12 ЯФ АО ССК (ВАГОН 7)</t>
  </si>
  <si>
    <t>Тонометр AND UA-100 механический s/n B240409509 инв № ИМ-00010224</t>
  </si>
  <si>
    <t>ИМ-00010224</t>
  </si>
  <si>
    <t>Тонометр LD зав.№ А2106013034655</t>
  </si>
  <si>
    <t>ИМ-00007912</t>
  </si>
  <si>
    <t>Тонометр механический B.Well MED-63 зав.№032006368</t>
  </si>
  <si>
    <t>ИМ-00005578</t>
  </si>
  <si>
    <t>Восточно-Таркосалинское 27 ЯФ АО ССК (ВАГОН 039)</t>
  </si>
  <si>
    <t>Тонометр МЕD-63 механический s/n 052428521 инв № ИМ-00010289</t>
  </si>
  <si>
    <t>ИМ-00010289</t>
  </si>
  <si>
    <t>Тонометр МЕD-63 механический s/n 052428523 инв № ИМ-00010290</t>
  </si>
  <si>
    <t>ИМ-00010290</t>
  </si>
  <si>
    <t>Вынгапуровское СЛК (ВАГОН 3)</t>
  </si>
  <si>
    <t>Тонометр Microlife ВР AG-20 № 101701422 инв. № ИМ-00003169</t>
  </si>
  <si>
    <t>ИМ-00003169</t>
  </si>
  <si>
    <t>Тонометр Omron CS Medica CS-106 № 0719405822</t>
  </si>
  <si>
    <t>ИМ-00003192</t>
  </si>
  <si>
    <t>Тонометр Omron CS Medica CS-106 № 0719405827</t>
  </si>
  <si>
    <t>ИМ-00003193</t>
  </si>
  <si>
    <t>Тонометр механический AND UA-100 зав.№В200738699</t>
  </si>
  <si>
    <t>ИМ-00005806</t>
  </si>
  <si>
    <t>Газ-Сале Транспортный уч. УМиТ (ВАГОН 08091214)</t>
  </si>
  <si>
    <t>Тонометр BWELL MED-63 механич.со встроен. светоскопом зав.№ 072452263 инв № ИМ-00010824</t>
  </si>
  <si>
    <t>ИМ-00010824</t>
  </si>
  <si>
    <t>Тонометр CS-105 механический зав.№ 0222435531</t>
  </si>
  <si>
    <t>ИМ-00008113</t>
  </si>
  <si>
    <t>Газпромнефть Снабжение "ОМСК" (ВАГОН 3)</t>
  </si>
  <si>
    <t>Тонометр LD3а электронный s/n А20240303А 09153 инв. ИМ-00010545</t>
  </si>
  <si>
    <t>ИМ-00010545</t>
  </si>
  <si>
    <t>Тонометр автоматический MediTech МТ-20 s/n 2308019860 инв.№ ИМ-00009210</t>
  </si>
  <si>
    <t>ИМ-00009210</t>
  </si>
  <si>
    <t>ГАИ</t>
  </si>
  <si>
    <t>Тонометр BWELL MED-63 зав.№ 052206115 инв № ИМ-00009011</t>
  </si>
  <si>
    <t>ИМ-00009011</t>
  </si>
  <si>
    <t>Тонометр Омрон автомат s/n20250529870 инв.№ИМ-00012079</t>
  </si>
  <si>
    <t>ИМ-00012079</t>
  </si>
  <si>
    <t>Губкинский БН-СПЕЦТРАНС (ВАГОН 13)</t>
  </si>
  <si>
    <t>Тонометр B.WELL МЕД- 63 зав.072348360 инв.№ИМ-00011236</t>
  </si>
  <si>
    <t>ИМ-00011236</t>
  </si>
  <si>
    <t>Тонометр Omron CS Medica CS-106 № 0719402572</t>
  </si>
  <si>
    <t>ИМ-00003200</t>
  </si>
  <si>
    <t>Жагрина 8 Азия-Дриллинг (ВАГОН 878)</t>
  </si>
  <si>
    <t>Тонометр B.WELL MED-63 s/n072410006 инв.№ИМ-00011687</t>
  </si>
  <si>
    <t>ИМ-00011687</t>
  </si>
  <si>
    <t>Тонометр B.WELL MED-63 s/n072410007 инв.№ИМ-00011688</t>
  </si>
  <si>
    <t>ИМ-00011688</t>
  </si>
  <si>
    <t>Вахское 109 Азия-Дриллинг (ВАГОН 17296)</t>
  </si>
  <si>
    <t>Тонометр МедиТех МТ-20 s/n 2209С11142</t>
  </si>
  <si>
    <t>ИМ-00008148</t>
  </si>
  <si>
    <t>Тонометр механический B.WELL MED-62 № 012102226</t>
  </si>
  <si>
    <t>ИМ-00005960</t>
  </si>
  <si>
    <t>Северо-Ярудейское НГКМ 11 ПО ССК</t>
  </si>
  <si>
    <t>Тонометр CS-105 механический с/н 0422489052</t>
  </si>
  <si>
    <t>ИМ-00008107</t>
  </si>
  <si>
    <t>Тонометр механический MediTech s/n 2007002096</t>
  </si>
  <si>
    <t>ИМ-00005278</t>
  </si>
  <si>
    <t>Южно-Приобское 106 НГ-Бурение</t>
  </si>
  <si>
    <t>Тонометр BWELL MED-63 механич.со встроен. светоскопом зав.№ 072452262 инв № ИМ-ИМ-00010777</t>
  </si>
  <si>
    <t>ИМ-00010777</t>
  </si>
  <si>
    <t>Тонометр Microlife ВР AG-20 № 321702195</t>
  </si>
  <si>
    <t>ИМ-00003171</t>
  </si>
  <si>
    <t>Тонометр Omron CS Medica CS-106 № 0719402575</t>
  </si>
  <si>
    <t>ИМ-00003197</t>
  </si>
  <si>
    <t>Западно-Уренгойское 3 АО ССК (ВАГОН 14)</t>
  </si>
  <si>
    <t>Тонометр AND UA-100 механический s/n B211212054</t>
  </si>
  <si>
    <t>ИМ-00009128</t>
  </si>
  <si>
    <t>Тонометр Omron Medica CS-105 с/н 0423690974 инв № ИМ-00009817</t>
  </si>
  <si>
    <t>ИМ-00009817</t>
  </si>
  <si>
    <t>Тонометр автомат Омрон М2 Basic s/n 20230933734LG инв № ИМ-00009812</t>
  </si>
  <si>
    <t>ИМ-00009812</t>
  </si>
  <si>
    <t>Западно-Чатылькинское 9Б Азия-Дриллинг(ВАГОН 040)</t>
  </si>
  <si>
    <t>Тонометр B.WELL А-23 автоматический sn 172402744 инв № ИМ-00011343</t>
  </si>
  <si>
    <t>ИМ-00011343</t>
  </si>
  <si>
    <t>Тонометр МЕD-63 механический s/n 072348347 инв № ИМ-00011342</t>
  </si>
  <si>
    <t>ИМ-00011342</t>
  </si>
  <si>
    <t>Игнялинское 22 Азия-Дриллинг (ВАГОН 074)</t>
  </si>
  <si>
    <t>Тонометр BWELL MED-61механич/стетоскоп зав.№032000201</t>
  </si>
  <si>
    <t>ИМ-00005096</t>
  </si>
  <si>
    <t>Тонометр механический B.Well MED-63 № 072451752 инв.№ ИМ-00010542</t>
  </si>
  <si>
    <t>ИМ-00010542</t>
  </si>
  <si>
    <t>Игнялинское 26И Азия-Дриллинг (ВАГОН 037)</t>
  </si>
  <si>
    <t>Тонометр MED-63  сер.072455008 инв.№ИМ-00011424</t>
  </si>
  <si>
    <t>ИМ-00011424</t>
  </si>
  <si>
    <t>Тонометр MED-63 сер.072455006 инв.№ИМ-00011425</t>
  </si>
  <si>
    <t>ИМ-00011425</t>
  </si>
  <si>
    <t>Игнялинское 8И БИС Азия-Дриллинг (ВАГОН 37)</t>
  </si>
  <si>
    <t>Тонометр AND UA-100 механический стетоскоп зав.№В220932409</t>
  </si>
  <si>
    <t>ИМ-00008212</t>
  </si>
  <si>
    <t>Тонометр механический B.Well MED-62 № 112004949</t>
  </si>
  <si>
    <t>ИМ-00005735</t>
  </si>
  <si>
    <t>Муравленко База Нефтесервис (ВАГОН М-9714613(3640)</t>
  </si>
  <si>
    <t>Тонометр автомат Омрон М2 Basic s/n 20230820303LG инв № ИМ-00009801</t>
  </si>
  <si>
    <t>ИМ-00009801</t>
  </si>
  <si>
    <t>Тонометр механический AND UA-100 s/n В230916794 инв № ИМ-00009728</t>
  </si>
  <si>
    <t>ИМ-00009728</t>
  </si>
  <si>
    <t>Уренгойское 5А-32 Азия-Дриллинг (ВАГОН 16278)</t>
  </si>
  <si>
    <t>Манжета Omron CS Medica для тонометра</t>
  </si>
  <si>
    <t>ИМ-00005926</t>
  </si>
  <si>
    <t>тонометр А 23 512322303 инв. №ИМ-00011235</t>
  </si>
  <si>
    <t>ИМ-00011235</t>
  </si>
  <si>
    <t>Уренгойское 1017 Азия-Дриллинг (ВАГОН QM0209943)</t>
  </si>
  <si>
    <t>Тонометр МЕD-63 механический s/n 052420288 инв № ИМ-00010405</t>
  </si>
  <si>
    <t>ИМ-00010405</t>
  </si>
  <si>
    <t>Тонометр BWELL MED-63 механич.со встроен. светоскопом зав.№ 072348341 инв № ИМ-00010991</t>
  </si>
  <si>
    <t>ИМ-00010991</t>
  </si>
  <si>
    <t>Новопортовское 8.2 ПРЕМИУМ мчс (ВАГОН 3036)</t>
  </si>
  <si>
    <t>Тонометр B.WELL PRO-33 зав.автомат № 472229336 инв № ИМ-00009241</t>
  </si>
  <si>
    <t>ИМ-00009241</t>
  </si>
  <si>
    <t>Новый порт БСО-1 УТТ-Югра (ВАГОН 118) ИМ-000088</t>
  </si>
  <si>
    <t>Тонометр B.WELL PRO-33 зав.№ 472205794 автомат. инв № ИМ-00009062</t>
  </si>
  <si>
    <t>ИМ-00009062</t>
  </si>
  <si>
    <t>Тонометр механический MediTech МТ-20 s/n 2308С15712 инв.№ ИМ-00009218</t>
  </si>
  <si>
    <t>ИМ-00009218</t>
  </si>
  <si>
    <t>Песцовое 16А-1 Азия-Дриллинг (ВАГОН 16279)</t>
  </si>
  <si>
    <t>Тонометр AND UA-888 автомат № А231227424 инв.№ ИМ-00009684</t>
  </si>
  <si>
    <t>ИМ-00009684</t>
  </si>
  <si>
    <t>Тонометр LD 0123 зав № А201709013 168811</t>
  </si>
  <si>
    <t>ИМ-00004126</t>
  </si>
  <si>
    <t>Тонометр Microlife BP AG1-30 зав.№321701123</t>
  </si>
  <si>
    <t>ИМ-00003037</t>
  </si>
  <si>
    <t>Промзона НГ-Сервис Пелей</t>
  </si>
  <si>
    <t>Тонометр А-23 D.WELL 172402730 инв.№ИМ-00011228</t>
  </si>
  <si>
    <t>ИМ-00011228</t>
  </si>
  <si>
    <t>Тонометр механический b.well зав.№022110382</t>
  </si>
  <si>
    <t>ИМ-00006142</t>
  </si>
  <si>
    <t>Русское 59 НГ-Бурение</t>
  </si>
  <si>
    <t>Тонометр AND UA-100 механический s/n B220932406 инв № ИМ-00008188</t>
  </si>
  <si>
    <t>ИМ-00008188</t>
  </si>
  <si>
    <t>Тонометр А-23 B/WELL 512322310 инв №ИМ-00011246</t>
  </si>
  <si>
    <t>ИМ-00011246</t>
  </si>
  <si>
    <t>Тонометр автоматический MediTech МТ- 40 s/n 22 10L05525  инв.№ ИМ-00009246</t>
  </si>
  <si>
    <t>ИМ-00009246</t>
  </si>
  <si>
    <t>Русское УТТ-Югра (ВАГОН 13)</t>
  </si>
  <si>
    <t>Тонометр B.WELL А-23 автоматический sn 262403332 инв № ИМ-00010668</t>
  </si>
  <si>
    <t>ИМ-00010668</t>
  </si>
  <si>
    <t>Тонометр механический B.Well MED-63 № 072451751 инв.№ ИМ-00010540</t>
  </si>
  <si>
    <t>ИМ-00010540</t>
  </si>
  <si>
    <t>Самбургское U78 ЯФ АО ССК</t>
  </si>
  <si>
    <t>Тонометр B. WELL072454993 инв.№ИМ-00011249</t>
  </si>
  <si>
    <t>ИМ-00011249</t>
  </si>
  <si>
    <t>Тонометр механический MediTech № 2007004836</t>
  </si>
  <si>
    <t>ИМ-00005280</t>
  </si>
  <si>
    <t>Тонометр механический MediTech зав.№2007С16775</t>
  </si>
  <si>
    <t>ИМ-00005277</t>
  </si>
  <si>
    <t>Тазовское 2.3 НГ-Бурение</t>
  </si>
  <si>
    <t>Тонометр AND UA-100 механический s/n № В230145346 инв. ИМ-00008397</t>
  </si>
  <si>
    <t>ИМ-00008397</t>
  </si>
  <si>
    <t>Тонометр B.WELL А-23 зав.автомат № 262422003 инв № ИМ-00010402</t>
  </si>
  <si>
    <t>ИМ-00010402</t>
  </si>
  <si>
    <t>Тонометр B/ WELL MED-63 072455004 инв.№ИМ-00011247</t>
  </si>
  <si>
    <t>ИМ-00011247</t>
  </si>
  <si>
    <t>Тонометр Omron CS Medica CS-106 № 0719405817 инв. № ИМ-00003189</t>
  </si>
  <si>
    <t>ИМ-00003189</t>
  </si>
  <si>
    <t>Уренгойское 15 АО ССК (вагон заказчика)</t>
  </si>
  <si>
    <t>Тонометр LD-71А механический s/n А2409013224768 инв № ИМ-00010539</t>
  </si>
  <si>
    <t>ИМ-00010539</t>
  </si>
  <si>
    <t>Тонометр механический B.Well MED-63 № 032006312</t>
  </si>
  <si>
    <t>ИМ-00005737</t>
  </si>
  <si>
    <t>Уренгойское 2-342 Азия-Дриллинг (ВАГОН 787)</t>
  </si>
  <si>
    <t>Тонометр LD-71А с/н № А2404013079975  инв № ИМ-00009963</t>
  </si>
  <si>
    <t>ИМ-00009963</t>
  </si>
  <si>
    <t>Тонометр механический b.well № 072102473 инв № ИМ-00007374</t>
  </si>
  <si>
    <t>ИМ-00007374</t>
  </si>
  <si>
    <t>Тонометр механический MED-63 с/н 072300923 инв № ИМ-00009818</t>
  </si>
  <si>
    <t>ИМ-00009818</t>
  </si>
  <si>
    <t>Уренгойское 2095 Тюменьгеология</t>
  </si>
  <si>
    <t>Тонометр LD-71А механический s/n А2409013219814</t>
  </si>
  <si>
    <t>ИМ-00010287</t>
  </si>
  <si>
    <t>Тонометр МЕD-63 механический s/n 052409852 инв № ИМ-00010291</t>
  </si>
  <si>
    <t>ИМ-00010291</t>
  </si>
  <si>
    <t>Уренгойское 5А-32 Азия-Дриллинг (ВАГОН 890)</t>
  </si>
  <si>
    <t>Тонометр AND UA-100 механический s/n 240409065 инв № ИМ-00010472</t>
  </si>
  <si>
    <t>ИМ-00010472</t>
  </si>
  <si>
    <t>Тонометр механический B.WELL MED-63 № 012110402</t>
  </si>
  <si>
    <t>ИМ-00005959</t>
  </si>
  <si>
    <t>Уренгойское 6А02 АО ССК</t>
  </si>
  <si>
    <t>Тонометр B.WELL А-23 автоматический sn 262409568 инв № ИМ-00010692</t>
  </si>
  <si>
    <t>ИМ-00010692</t>
  </si>
  <si>
    <t>Тонометр Microlife BP AG1-30 зав.№161701517</t>
  </si>
  <si>
    <t>ИМ-00004824</t>
  </si>
  <si>
    <t>Тонометр механический MediTech МТ-20 s/n 2308002189 инв.№ ИМ-00009211</t>
  </si>
  <si>
    <t>ИМ-00009211</t>
  </si>
  <si>
    <t>Уренгойское 6А03 НГКМ Сиам Мастер (ВАГОН 132)</t>
  </si>
  <si>
    <t>Тонометр механический B.Well MED-63 № 052420309 инв.№ ИМ-00010666</t>
  </si>
  <si>
    <t>ИМ-00010666</t>
  </si>
  <si>
    <t>Тонометр механический B.Well MED-63 № 052420310 инв.№ ИМ-00010667</t>
  </si>
  <si>
    <t>ИМ-00010667</t>
  </si>
  <si>
    <t>Уренгойское U29 ЯФ АО ССК</t>
  </si>
  <si>
    <t>Тонометр Microlife BP AG1-20 зав.№231701048 инв. № ИМ-00004823</t>
  </si>
  <si>
    <t>ИМ-00004823</t>
  </si>
  <si>
    <t>Тонометр Microlife ВР AG-20 № 196084</t>
  </si>
  <si>
    <t>ИМ-00003264</t>
  </si>
  <si>
    <t>Харвутинское КП 402 ЯНГКМ НГ-Бурение (ВАГОН 78)</t>
  </si>
  <si>
    <t>Тонометр AND UA-100 механический/стетоскоп зав.№ В221200222 инв. № ИМ-00008821</t>
  </si>
  <si>
    <t>ИМ-00008821</t>
  </si>
  <si>
    <t>Тонометр B.WELL А-23 автоматический sn 172413093 инв № ИМ-00010890</t>
  </si>
  <si>
    <t>ИМ-00010890</t>
  </si>
  <si>
    <t>Чаяндинское НГКМ ВЗиС 153 км УМиТ</t>
  </si>
  <si>
    <t>Тонометр AND UA-100 механический s/n B221114775 инв № ИМ-00008905</t>
  </si>
  <si>
    <t>ИМ-00008905</t>
  </si>
  <si>
    <t>Тонометр B.WELL PRO-35 автомат s/n 362415568 ИМ-00011593</t>
  </si>
  <si>
    <t>ИМ-00011593</t>
  </si>
  <si>
    <t>Южно-Киняминское 3 Азия-Дриллинг (ВАГОН 777)</t>
  </si>
  <si>
    <t>Тонометр BWELL MED-63 механический зав.№ 052408930 инв № ИМ-00009962</t>
  </si>
  <si>
    <t>ИМ-00009962</t>
  </si>
  <si>
    <t>Тонометр BWELL WM-62S механич/стетоскоп зав.№101815141 (НЕИСПРАВНЫЙ)</t>
  </si>
  <si>
    <t>ИМ-00005084</t>
  </si>
  <si>
    <t>Тонометр LD-71А механический s/n А2409013219832 инв № ИМ-00010538</t>
  </si>
  <si>
    <t>ИМ-00010538</t>
  </si>
  <si>
    <t>Тонометр автоматический MediTech МТ-50 s/n 2305M04784 инв.№ИМ-00008295</t>
  </si>
  <si>
    <t>ИМ-00008295</t>
  </si>
  <si>
    <t>Южно-Приобское 101 МУБР (ВАГОН 797)</t>
  </si>
  <si>
    <t>Тонометр LD-71А механический с/н А2404013079994 ИМ-00010033</t>
  </si>
  <si>
    <t>ИМ-00010033</t>
  </si>
  <si>
    <t>Тонометр механический B.Well MED-63 № 072451753 инв.№ ИМ-00010541</t>
  </si>
  <si>
    <t>ИМ-00010541</t>
  </si>
  <si>
    <t>Южно-Приобское 108-1 Азия-Дриллинг (ВАГОН 136)</t>
  </si>
  <si>
    <t>Тонометр Microlife ВР AG-20 зав.№021701543</t>
  </si>
  <si>
    <t>ИМ-00002594</t>
  </si>
  <si>
    <t>Тонометр Omron CS Medica CS-106 № 0719402571</t>
  </si>
  <si>
    <t>ИМ-00003201</t>
  </si>
  <si>
    <t>Южно-Приобское 10А Интегра-Бурение(ВАГОНQM0209943)</t>
  </si>
  <si>
    <t>Тонометр Omron CS Medica CS-106 № 0719405821</t>
  </si>
  <si>
    <t>ИМ-00003191</t>
  </si>
  <si>
    <t>Тонометр Мicrolife BP A200 Эсмо 3 s/n/ 5250800639 инв.№ИМ-00012087</t>
  </si>
  <si>
    <t>ИМ-00012088</t>
  </si>
  <si>
    <t>Тонометр механический CS-105 CS Medica зав.№1021351655</t>
  </si>
  <si>
    <t>ИМ-00007970</t>
  </si>
  <si>
    <t>Электронный тонометр JXB-183 Эсмо 3 s/n.M00220601097инв.№ИМ-00012087</t>
  </si>
  <si>
    <t>ИМ-00012087</t>
  </si>
  <si>
    <t>Южно-Приобское 11 Азия-Дриллинг (ВАГОН 212)</t>
  </si>
  <si>
    <t>Тонометр LD51А электронный s/n А20240351А 11787 инв. ИМ-00010544</t>
  </si>
  <si>
    <t>ИМ-00010544</t>
  </si>
  <si>
    <t>Тонометр МЕD-63 механический s/n 072451759 инв № ИМ-00010471</t>
  </si>
  <si>
    <t>ИМ-00010471</t>
  </si>
  <si>
    <t>Южно-Приобское 20.2 Интегра-Бурение (ВАГОН 6)</t>
  </si>
  <si>
    <t>Тонометр MED-63 s/n072455001 инв.№ИМ-00011484</t>
  </si>
  <si>
    <t>ИМ-00011484</t>
  </si>
  <si>
    <t>Тонометр MED-63 s\n 072455007 инв.№ИМ-00011485</t>
  </si>
  <si>
    <t>ИМ-00011485</t>
  </si>
  <si>
    <t>Южно-Приобское 220 НГ-Бурение</t>
  </si>
  <si>
    <t>Тонометр B.WELL PRO-33 зав.№ 432301234 инв № ИМ-00009692</t>
  </si>
  <si>
    <t>ИМ-00009692</t>
  </si>
  <si>
    <t>Тонометр автоматический LD3a s/n A20240603A27811 ИМ-00010280</t>
  </si>
  <si>
    <t>ИМ-00010280</t>
  </si>
  <si>
    <t>Южно-Приобское 345 МУБР (ВАГОН 141)</t>
  </si>
  <si>
    <t>Тонометр LD-71А с/н № А2311013288077 инв № ИМ-00009815</t>
  </si>
  <si>
    <t>ИМ-00009815</t>
  </si>
  <si>
    <t>Тонометр LD3а автомат. s/n А20240803А 43661 инв. № ИМ-00011758</t>
  </si>
  <si>
    <t>ИМ-00011758</t>
  </si>
  <si>
    <t>Южно-Приобское 463 Интегра-Бурение (ВАГОН 17)</t>
  </si>
  <si>
    <t>Тонометр MED-63 s/n 072454992 инв. №ИМ-00011438</t>
  </si>
  <si>
    <t>ИМ-00011438</t>
  </si>
  <si>
    <t>Тонометр МЕD-63 s/n 072454998 инв.№ИМ-00011436</t>
  </si>
  <si>
    <t>ИМ-00011436</t>
  </si>
  <si>
    <t>Южно-Приобское 463а НГ-Бурение (вагон заказчика)</t>
  </si>
  <si>
    <t>Тонометр AND UA-100 механический с/н B240200703 инв ИМ-00010032</t>
  </si>
  <si>
    <t>ИМ-00010032</t>
  </si>
  <si>
    <t>Тонометр B.WELL А-23 зав.автомат № 272402835 инв № ИМ-00010277</t>
  </si>
  <si>
    <t>ИМ-00010277</t>
  </si>
  <si>
    <t>Тонометр механический B.Well MED-63 № 012106129</t>
  </si>
  <si>
    <t>ИМ-00005860</t>
  </si>
  <si>
    <t>Южно-Приобское 75 Азия-Дриллинг (ВАГОН 210622-2)</t>
  </si>
  <si>
    <t>Тонометр LD-71А механический s/n А2409013224792 инв № ИМ-00010537</t>
  </si>
  <si>
    <t>ИМ-00010537</t>
  </si>
  <si>
    <t>Тонометр MED-63 механич. со встроенным стетоскопом s/n 052408574 инв.№ ИМ-00011757</t>
  </si>
  <si>
    <t>ИМ-00011757</t>
  </si>
  <si>
    <t>Южно-Приобское 81 Азия-Дриллинг (ВАГОН 036)</t>
  </si>
  <si>
    <t>Тонометр LD-523A s/n A202509523A ИНВ.№ИМ-00012080</t>
  </si>
  <si>
    <t>ИМ-00012080</t>
  </si>
  <si>
    <t>Тонометр механический CS Medica s/n 1218202549</t>
  </si>
  <si>
    <t>ИМ-00007214</t>
  </si>
  <si>
    <t>Тонометр механический CS Medika CS-105 № 0920827253</t>
  </si>
  <si>
    <t>ИМ-00005556</t>
  </si>
  <si>
    <t>ОСНОВНОЙ СКЛАД</t>
  </si>
  <si>
    <t>Тонометр AND UA-100 механический/стетоскоп зав.№ В221111007 инв № ИМ-00009219</t>
  </si>
  <si>
    <t>ИМ-00009219</t>
  </si>
  <si>
    <t>Тонометр AND UA-100 механический/стетоскоп зав.№В210205124</t>
  </si>
  <si>
    <t>ИМ-00006055</t>
  </si>
  <si>
    <t>Тонометр AND UA-888 автомат № 7230716050 инв.№ ИМ-00009414</t>
  </si>
  <si>
    <t>ИМ-00009414</t>
  </si>
  <si>
    <t>Тонометр AND UA-888 автомат+адаптер s/n 7210917385</t>
  </si>
  <si>
    <t>ИМ-00007286</t>
  </si>
  <si>
    <t>Тонометр AND UA-888 автомат+адаптер s/n 7220210932</t>
  </si>
  <si>
    <t>ИМ-00007348</t>
  </si>
  <si>
    <t>Тонометр AND автоматический sn 7210704891 инв № ИМ-00010891</t>
  </si>
  <si>
    <t>ИМ-00010891</t>
  </si>
  <si>
    <t>Тонометр B.WELL MED--63 072455009 инв. №ИМ-00011248</t>
  </si>
  <si>
    <t>ИМ-00011248</t>
  </si>
  <si>
    <t>Тонометр B.WELL PRO-33 автомат зав. № 172337939 инв № ИМ-00009299</t>
  </si>
  <si>
    <t>ИМ-00009299</t>
  </si>
  <si>
    <t>Тонометр B.WELL PRO-33 зав.№ 072100135 автомат.</t>
  </si>
  <si>
    <t>ИМ-00006027</t>
  </si>
  <si>
    <t>Тонометр B.WELL PRO-33 зав.№ 332223755 автомат. (НЕИСПРАВНЫЙ)</t>
  </si>
  <si>
    <t>ИМ-00007971</t>
  </si>
  <si>
    <t>Тонометр B.WELL PRO-35 автомат s/n 092234679</t>
  </si>
  <si>
    <t>ИМ-00007854</t>
  </si>
  <si>
    <t>Тонометр B.WELL PRO-60 механический зав.№ 051900607</t>
  </si>
  <si>
    <t>ИМ-00004971</t>
  </si>
  <si>
    <t>Тонометр B.WELL А-23 автоматический sn 172402742 инв № ИМ-00010997</t>
  </si>
  <si>
    <t>ИМ-00010997</t>
  </si>
  <si>
    <t>Тонометр B.WELL А-23 автоматический sn 172402746 инв № ИМ-00010996</t>
  </si>
  <si>
    <t>ИМ-00010996</t>
  </si>
  <si>
    <t>Тонометр B.Well механический с фонендоскопом № 2285</t>
  </si>
  <si>
    <t>ИМ-00002285</t>
  </si>
  <si>
    <t>Тонометр BP AG1-20 зав.№231701304</t>
  </si>
  <si>
    <t>ИМ-00005414</t>
  </si>
  <si>
    <t>Тонометр BWELL MED механич/стетоскоп зав.№ 012110931 (НЕИСПРАВНЫЙ)</t>
  </si>
  <si>
    <t>ИМ-00005931</t>
  </si>
  <si>
    <t>Тонометр BWELL MED механич/стетоскоп зав.№032000286</t>
  </si>
  <si>
    <t>ИМ-00005103</t>
  </si>
  <si>
    <t>Тонометр BWELL MED-63 зав.№021906399 инв. № ИМ-00002888</t>
  </si>
  <si>
    <t>ИМ-00002888</t>
  </si>
  <si>
    <t>Тонометр BWELL MED-63 механич.со встроен. светоскопом зав.№ 072452261 инв № ИМ-00010739</t>
  </si>
  <si>
    <t>ИМ-00010739</t>
  </si>
  <si>
    <t>Тонометр CS-105 механический зав.№ 0123616410 (НЕИСПРАВНЫЙ)</t>
  </si>
  <si>
    <t>ИМ-00009663</t>
  </si>
  <si>
    <t>Тонометр CS-105 механический зав.№ 0822544664</t>
  </si>
  <si>
    <t>ИМ-00008838</t>
  </si>
  <si>
    <t>Тонометр CS-106 механический с/н 0222442925</t>
  </si>
  <si>
    <t>ИМ-00008108</t>
  </si>
  <si>
    <t>Тонометр CS-106 механический+фонендоскоп зав.№0219280578</t>
  </si>
  <si>
    <t>ИМ-00002871</t>
  </si>
  <si>
    <t>Тонометр CиЭс МЕДИКА CS-105 s/n 0222415571 инв № ИМ-00008147</t>
  </si>
  <si>
    <t>ИМ-00008147</t>
  </si>
  <si>
    <t>Тонометр CиЭс МЕДИКА CS-105 s/n 0223645430 инв № ИМ-00009209</t>
  </si>
  <si>
    <t>ИМ-00009209</t>
  </si>
  <si>
    <t>Тонометр CиЭс МЕДИКА CS-105 s/n 0322462337 инв № ИМ-00008391</t>
  </si>
  <si>
    <t>ИМ-00008391</t>
  </si>
  <si>
    <t>Тонометр LD33650-12 № 087760</t>
  </si>
  <si>
    <t>ИМ-00003173</t>
  </si>
  <si>
    <t>Тонометр MediTech зав.№AG409065</t>
  </si>
  <si>
    <t>ИМ-00006938</t>
  </si>
  <si>
    <t>Тонометр Microlife BP AG1-20 зав.№101701872</t>
  </si>
  <si>
    <t>ИМ-00003108</t>
  </si>
  <si>
    <t>Тонометр Microlife BP AG1-30 зав.№161704497</t>
  </si>
  <si>
    <t>ИМ-00003027</t>
  </si>
  <si>
    <t>Тонометр Omron CS Medica CS-106 № 0419334148</t>
  </si>
  <si>
    <t>ИМ-00003185</t>
  </si>
  <si>
    <t>Тонометр Omron CS Medica CS-106 № 0419477137</t>
  </si>
  <si>
    <t>ИМ-00003183</t>
  </si>
  <si>
    <t>Тонометр Omron CS Medica CS-106 № 0719402573</t>
  </si>
  <si>
    <t>ИМ-00003199</t>
  </si>
  <si>
    <t>Тонометр Omron CS Medica CS-106 № 0719402574</t>
  </si>
  <si>
    <t>ИМ-00003198</t>
  </si>
  <si>
    <t>Тонометр Omron CS Medica CS-106 № 0719402580</t>
  </si>
  <si>
    <t>ИМ-00003204</t>
  </si>
  <si>
    <t>Тонометр Omron CS Medica CS-106 № 0719402581 (НЕИСПРАВНЫЙ)</t>
  </si>
  <si>
    <t>ИМ-00003203</t>
  </si>
  <si>
    <t>Тонометр Omron CS Medica CS-106 № 0719405813</t>
  </si>
  <si>
    <t>ИМ-00003195</t>
  </si>
  <si>
    <t>Тонометр Omron CS Medica CS-106 s/n 0719402586</t>
  </si>
  <si>
    <t>ИМ-00003210</t>
  </si>
  <si>
    <t>Тонометр Omron CS Medica CS-106 зав.№0419334147</t>
  </si>
  <si>
    <t>ИМ-00003188</t>
  </si>
  <si>
    <t>Тонометр Omron Medica CS-105 с/н 0423690973 инв № ИМ-00009814</t>
  </si>
  <si>
    <t>ИМ-00009814</t>
  </si>
  <si>
    <t>Тонометр Omron автомат s/n 20210904555LG</t>
  </si>
  <si>
    <t>ИМ-00007825</t>
  </si>
  <si>
    <t>Тонометр Omron автомат s/n 20211113807LG</t>
  </si>
  <si>
    <t>ИМ-00007851</t>
  </si>
  <si>
    <t>Тонометр автомат PRO-33 b.well s/n 122119226</t>
  </si>
  <si>
    <t>ИМ-00005957</t>
  </si>
  <si>
    <t>Тонометр автомат UA-888 s/n 7220228149 (НЕИСПРАВНЫЙ Износ манжеты)</t>
  </si>
  <si>
    <t>ИМ-00007448</t>
  </si>
  <si>
    <t>Тонометр автоматический B.Well PRO-33 s/n 522105353</t>
  </si>
  <si>
    <t>ИМ-00007464</t>
  </si>
  <si>
    <t>Тонометр автоматический MediTech МТ- 43 s/n 2311R04857 инв.№ ИМ-00009657</t>
  </si>
  <si>
    <t>ИМ-00009657</t>
  </si>
  <si>
    <t>Тонометр автоматический MediTech МТ-40 s/n 2210L06312 инв.№ ИМ-00008451</t>
  </si>
  <si>
    <t>ИМ-00008451</t>
  </si>
  <si>
    <t>Тонометр автоматический MediTech МТ-50 s/n 2309М00951  инв.№ ИМ-00009430</t>
  </si>
  <si>
    <t>ИМ-00009430</t>
  </si>
  <si>
    <t>Тонометр автоматический OMRON M2 Basic s/n 20200505814LG</t>
  </si>
  <si>
    <t>ИМ-00010103</t>
  </si>
  <si>
    <t>Тонометр автоматический OMRON M2 Basic s/n 20220153940LG инв № ИМ-00007394</t>
  </si>
  <si>
    <t>ИМ-00007394</t>
  </si>
  <si>
    <t>Тонометр внутриглазного давления ТГДЦ-01 "ПРА" s/n 4264 инв № ИМ-00009393</t>
  </si>
  <si>
    <t>ИМ-00009393</t>
  </si>
  <si>
    <t>Тонометр МЕD-63 механический s/n 052409869 инв № ИМ-00010288</t>
  </si>
  <si>
    <t>ИМ-00010288</t>
  </si>
  <si>
    <t>Тонометр механический B.Well MED-62 № 012007966</t>
  </si>
  <si>
    <t>ИМ-00005300</t>
  </si>
  <si>
    <t>Тонометр механический B.Well MED-62 № 112004945</t>
  </si>
  <si>
    <t>ИМ-00005575</t>
  </si>
  <si>
    <t>Тонометр механический B.WELL MED-62 зав.№012102233</t>
  </si>
  <si>
    <t>ИМ-00005961</t>
  </si>
  <si>
    <t>Тонометр механический B.Well MED-63 № 012106130</t>
  </si>
  <si>
    <t>ИМ-00005858</t>
  </si>
  <si>
    <t>Тонометр механический B.Well MED-63 зав.№ 012106128</t>
  </si>
  <si>
    <t>ИМ-00005859</t>
  </si>
  <si>
    <t>Тонометр механический MED-63 № 072300589 инв № ИМ-00009142</t>
  </si>
  <si>
    <t>ИМ-00009142</t>
  </si>
  <si>
    <t>Тонометр механический MED-63 зав.№072300584 инв.№ИМ-00009143</t>
  </si>
  <si>
    <t>ИМ-00009143</t>
  </si>
  <si>
    <t>Тонометр механический MediTech МТ-20 s/n 2308017203 инв.№ ИМ-00009217</t>
  </si>
  <si>
    <t>ИМ-00009217</t>
  </si>
  <si>
    <t>Ягельная 2 этаж</t>
  </si>
  <si>
    <t>Тонометр автоматический B.WELL PRO-33 № 032107537</t>
  </si>
  <si>
    <t>ИМ-00005912</t>
  </si>
  <si>
    <t>💡 Инструкция: Введите дату в колонку "Дата истечения поверки" (G) — дата напоминания рассчитается автоматически за 2 месяца до истечения.</t>
  </si>
  <si>
    <t>📋 Алкометры — Журнал поверки приборов</t>
  </si>
  <si>
    <t>Сформировано: 19.03.2026 | Всего приборов: 136 шт.</t>
  </si>
  <si>
    <t>Анализатор Drivesafe II зав.№DS03HСR130106733</t>
  </si>
  <si>
    <t>ИМ-00003009</t>
  </si>
  <si>
    <t>Алкометр/Анализатор</t>
  </si>
  <si>
    <t>Анализатор Динго Е-200 зав.№IRJCR1318</t>
  </si>
  <si>
    <t>ИМ-00003697</t>
  </si>
  <si>
    <t>Анализатор Динго Е-200 зав.№IRKCI0445</t>
  </si>
  <si>
    <t>ИМ-00005801</t>
  </si>
  <si>
    <t>Анализатор Динго Е-200 зав.№IRJCR0399</t>
  </si>
  <si>
    <t>ИМ-00003700</t>
  </si>
  <si>
    <t>Анализатор Динго Е-200 зав.№IRKBR0708</t>
  </si>
  <si>
    <t>ИМ-00006010</t>
  </si>
  <si>
    <t>Анализатор Drivesafe II зав. №DS03HAP222019582</t>
  </si>
  <si>
    <t>ИМ-00003319</t>
  </si>
  <si>
    <t>Анализатор Динго Е-200 зав.№IRKBR0778</t>
  </si>
  <si>
    <t>ИМ-00006009</t>
  </si>
  <si>
    <t>Анализатор Drivesafe II зав.№DS03HCQ229101740</t>
  </si>
  <si>
    <t>ИМ-00002988</t>
  </si>
  <si>
    <t>Анализатор Динго Е-200 зав.№IRIAQ0219</t>
  </si>
  <si>
    <t>ИМ-00004898</t>
  </si>
  <si>
    <t>Анализатор Drivesafe II зав.№DS03HAP337023133</t>
  </si>
  <si>
    <t>ИМ-00002890</t>
  </si>
  <si>
    <t>Анализатор Динго Е-200 зав.№ IRK431079 инв № ИМ-00005380</t>
  </si>
  <si>
    <t>ИМ-00005380</t>
  </si>
  <si>
    <t>Анализатор Динго Е-200 зав.№IRJAV0756</t>
  </si>
  <si>
    <t>ИМ-00003016</t>
  </si>
  <si>
    <t>Анализатор Динго Е-200 зав.№IRJCR1324</t>
  </si>
  <si>
    <t>ИМ-00003274</t>
  </si>
  <si>
    <t>Анализатор Динго Е-200 зав.№IRJCR0227</t>
  </si>
  <si>
    <t>ИМ-00003269</t>
  </si>
  <si>
    <t>Анализатор Динго Е010 зав.№AABIAV0386</t>
  </si>
  <si>
    <t>ИМ-00003154</t>
  </si>
  <si>
    <t>Анализатор Динго Е-200 зав.№IRKCI0451</t>
  </si>
  <si>
    <t>ИМ-00005798</t>
  </si>
  <si>
    <t>Анализатор Динго Е010 зав.№ААВIAV1461</t>
  </si>
  <si>
    <t>ИМ-00002992</t>
  </si>
  <si>
    <t>Анализатор Динго Е010 зав.№ААВIAV1484</t>
  </si>
  <si>
    <t>ИМ-00003020</t>
  </si>
  <si>
    <t>Анализатор пороговый бесконтактный Lion Alсoblow  № АВ134269</t>
  </si>
  <si>
    <t>ИМ-00001301</t>
  </si>
  <si>
    <t>Анализатор видеоцифровой "РЕФЛЕКОМ" зав. № VLF-06-1914</t>
  </si>
  <si>
    <t>ИМ-00004655</t>
  </si>
  <si>
    <t>Анализатор Динго Е-200 зав.№IRKBR0835</t>
  </si>
  <si>
    <t>ИМ-00006012</t>
  </si>
  <si>
    <t>Анализатор пороговый бесконтактный Lion Alсoblow зав.№АВ 159516</t>
  </si>
  <si>
    <t>ИМ-00005813</t>
  </si>
  <si>
    <t>Анализатор Drivesafe II зав.№DS03HAQ191027270</t>
  </si>
  <si>
    <t>ИМ-00002987</t>
  </si>
  <si>
    <t>Анализатор Динго Е010 зав.№ААВIAV1500</t>
  </si>
  <si>
    <t>ИМ-00002990</t>
  </si>
  <si>
    <t>Анализатор Динго Е-200 зав.№IRJAV0428</t>
  </si>
  <si>
    <t>ИМ-00003049</t>
  </si>
  <si>
    <t>Анализатор Динго Е010 зав.№ААВI8G1063</t>
  </si>
  <si>
    <t>ИМ-00003024</t>
  </si>
  <si>
    <t>Анализатор Drivesafe II зав.№DS03HCQ227101365</t>
  </si>
  <si>
    <t>ИМ-00002977</t>
  </si>
  <si>
    <t>Анализатор Динго Е010 зав.№ААВIAV0318</t>
  </si>
  <si>
    <t>ИМ-00002969</t>
  </si>
  <si>
    <t>Анализатор Drivesafe II зав.№DS03HAP337023125</t>
  </si>
  <si>
    <t>ИМ-00002915</t>
  </si>
  <si>
    <t>Анализатор Динго Е-200 зав.№IRJCR1341</t>
  </si>
  <si>
    <t>ИМ-00003695</t>
  </si>
  <si>
    <t>Анализатор Drivesafe II зав.№DS03HCQ263101923</t>
  </si>
  <si>
    <t>ИМ-00002865</t>
  </si>
  <si>
    <t>Анализатор Drivesafe II зав.№DS03HAQ088025909</t>
  </si>
  <si>
    <t>ИМ-00003717</t>
  </si>
  <si>
    <t>Анализатор Динго Е-200 зав.№IRIAQ0195</t>
  </si>
  <si>
    <t>ИМ-00004897</t>
  </si>
  <si>
    <t>Анализатор Drivesafe II зав.№ DS03HAQ088025915</t>
  </si>
  <si>
    <t>ИМ-00004080</t>
  </si>
  <si>
    <t>Анализатор Динго Е010 зав.№AABIAV0353</t>
  </si>
  <si>
    <t>ИМ-00003008</t>
  </si>
  <si>
    <t>Анализатор Drivesafe II зав.№DS02HBM169024549</t>
  </si>
  <si>
    <t>ИМ-00002867</t>
  </si>
  <si>
    <t>Анализатор Динго Е-200 зав.№IRKBR0699</t>
  </si>
  <si>
    <t>ИМ-00006011</t>
  </si>
  <si>
    <t>Анализатор Drivesafe II зав.№DS02HBM190025726</t>
  </si>
  <si>
    <t>ИМ-00002863</t>
  </si>
  <si>
    <t>Анализатор Drivesafe II зав.№DS03HАQ224101084</t>
  </si>
  <si>
    <t>ИМ-00003716</t>
  </si>
  <si>
    <t>Анализатор Динго Е-200 зав.№ IRK431080</t>
  </si>
  <si>
    <t>ИМ-00005379</t>
  </si>
  <si>
    <t>Анализатор Динго Е-200 зав.№IRJAV1288</t>
  </si>
  <si>
    <t>ИМ-00003048</t>
  </si>
  <si>
    <t>Анализатор Drivesafe II зав.№DS03HAQ088025895</t>
  </si>
  <si>
    <t>ИМ-00002929</t>
  </si>
  <si>
    <t>Анализатор Динго Е010 зав.№ААВI8G1164 инв № ИМ-00003715</t>
  </si>
  <si>
    <t>ИМ-00003715</t>
  </si>
  <si>
    <t>Восточно-Тазовское 1 ЯФ АО ССК</t>
  </si>
  <si>
    <t>Анализатор Динго Е-200 зав.№IRKCI0452 ПРОПАЖА</t>
  </si>
  <si>
    <t>ИМ-00005799</t>
  </si>
  <si>
    <t>Анализатор Динго Е010 зав № ААBI8G1168</t>
  </si>
  <si>
    <t>ИМ-00003920</t>
  </si>
  <si>
    <t>Анализатор Динго Е-200 s/n IROB81723 инв. №ИМ-00011679</t>
  </si>
  <si>
    <t>ИМ-00011679</t>
  </si>
  <si>
    <t>Анализатор Динго Е-200 s/n IROB81725 инв. №ИМ-00011680</t>
  </si>
  <si>
    <t>ИМ-00011680</t>
  </si>
  <si>
    <t>Анализатор Динго Е-200 зав.№ IRK431088</t>
  </si>
  <si>
    <t>ИМ-00005381</t>
  </si>
  <si>
    <t>Анализатор Динго Е-200 зав.№IRKBR0349</t>
  </si>
  <si>
    <t>ИМ-00006108</t>
  </si>
  <si>
    <t>Анализатор Динго Е-200 зав.№IRJ8G0060 (треснутый экран)</t>
  </si>
  <si>
    <t>ИМ-00002894</t>
  </si>
  <si>
    <t>Анализатор Динго Е-200 зав.№IRJAV0773</t>
  </si>
  <si>
    <t>ИМ-00003045</t>
  </si>
  <si>
    <t>Анализатор Drivesafe II зав.№ DS03HAQ005023169</t>
  </si>
  <si>
    <t>ИМ-00002885</t>
  </si>
  <si>
    <t>Анализатор пороговый бесконтактный Lion Alсoblow зав.№АВ 125179</t>
  </si>
  <si>
    <t>ИМ-00002946</t>
  </si>
  <si>
    <t>Анализатор Drivesafe II зав. №DS03HAP196019205</t>
  </si>
  <si>
    <t>ИМ-00003676</t>
  </si>
  <si>
    <t>Анализатор Динго Е-200 зав.№IRJAV0951</t>
  </si>
  <si>
    <t>ИМ-00003052</t>
  </si>
  <si>
    <t>Анализатор Drivesafe II зав.№DS03HAQ167025939</t>
  </si>
  <si>
    <t>ИМ-00002866</t>
  </si>
  <si>
    <t>Анализатор Динго Е-200 зав.№IRJCR1330</t>
  </si>
  <si>
    <t>ИМ-00003272</t>
  </si>
  <si>
    <t>Анализатор Drivesafe II зав.№DS03HАР152017125</t>
  </si>
  <si>
    <t>ИМ-00003719</t>
  </si>
  <si>
    <t>Анализатор Динго Е-200 зав.№IRJCR1334</t>
  </si>
  <si>
    <t>ИМ-00003704</t>
  </si>
  <si>
    <t>Анализатор Динго Е-200 зав.№IRJCR0615</t>
  </si>
  <si>
    <t>ИМ-00003693</t>
  </si>
  <si>
    <t>Анализатор Динго Е-200 зав.№IRJCR1322</t>
  </si>
  <si>
    <t>ИМ-00003273</t>
  </si>
  <si>
    <t>Анализатор Динго Е-200 зав.№IRJCR1323</t>
  </si>
  <si>
    <t>ИМ-00003270</t>
  </si>
  <si>
    <t>Анализатор Динго Е-200 зав.№IRJCR1312</t>
  </si>
  <si>
    <t>ИМ-00003698</t>
  </si>
  <si>
    <t>Анализатор Динго Е010 зав.№ 11834718 инв. № ИМ-00011770</t>
  </si>
  <si>
    <t>ИМ-00011770</t>
  </si>
  <si>
    <t>Анализатор Drivesafe II зав.№DS03HСQ222100855</t>
  </si>
  <si>
    <t>ИМ-00003004</t>
  </si>
  <si>
    <t>Анализатор Динго Е-200 зав.№ IRK431085</t>
  </si>
  <si>
    <t>ИМ-00005378</t>
  </si>
  <si>
    <t>Анализатор Drivesafe II зав. №DS03HAN222019477</t>
  </si>
  <si>
    <t>ИМ-00003314</t>
  </si>
  <si>
    <t>Анализатор Drivesafe II зав.№ DS03HAQ167026000</t>
  </si>
  <si>
    <t>ИМ-00003023</t>
  </si>
  <si>
    <t>Анализатор Динго Е-200 зав.№IRIAQ0097</t>
  </si>
  <si>
    <t>ИМ-00005464</t>
  </si>
  <si>
    <t>Анализатор Динго Е-200 зав.№IRJ4A0544</t>
  </si>
  <si>
    <t>ИМ-00002983</t>
  </si>
  <si>
    <t>Анализатор Динго Е-200 зав.№ IRK430349</t>
  </si>
  <si>
    <t>ИМ-00005078</t>
  </si>
  <si>
    <t>Анализатор Динго Е-200 зав.№IRJCR0103</t>
  </si>
  <si>
    <t>ИМ-00003699</t>
  </si>
  <si>
    <t>Анализатор Drivesafe II зав.№DS03HAP222019544</t>
  </si>
  <si>
    <t>ИМ-00003134</t>
  </si>
  <si>
    <t>Анализатор Динго Е-200 зав.№IRJAV0983</t>
  </si>
  <si>
    <t>ИМ-00003050</t>
  </si>
  <si>
    <t>Анализатор Drivesafe II зав. №DS03HAN231000039</t>
  </si>
  <si>
    <t>ИМ-00003313</t>
  </si>
  <si>
    <t>Анализатор Динго Е-200 зав.№IRJCR0772</t>
  </si>
  <si>
    <t>ИМ-00003696</t>
  </si>
  <si>
    <t>Анализатор Drivesafe II зав.№DS03HAQ061024732</t>
  </si>
  <si>
    <t>ИМ-00002879</t>
  </si>
  <si>
    <t>Анализатор Динго Е-200 зав.№ IRK430356</t>
  </si>
  <si>
    <t>ИМ-00005077</t>
  </si>
  <si>
    <t>Анализатор Динго Е-200 зав.№IRJAV1157</t>
  </si>
  <si>
    <t>ИМ-00003044</t>
  </si>
  <si>
    <t>Анализатор Динго Е-200 зав.№IRJAV1353</t>
  </si>
  <si>
    <t>ИМ-00003017</t>
  </si>
  <si>
    <t>Анализатор пороговый бесконтактный Lion Alсoblow зав.№АВ 69870 инв.№ИМ-00011538</t>
  </si>
  <si>
    <t>ИМ-00011538</t>
  </si>
  <si>
    <t>Анализатор Drivesafe II зав. №DS03HAP251020641</t>
  </si>
  <si>
    <t>ИМ-00003318</t>
  </si>
  <si>
    <t>Анализатор Динго Е010 зав.№AABIAV1202</t>
  </si>
  <si>
    <t>ИМ-00003007</t>
  </si>
  <si>
    <t>Анализатор пороговый бесконтактный Lion Alсoblow зав.№АВ 159515</t>
  </si>
  <si>
    <t>ИМ-00005811</t>
  </si>
  <si>
    <t>Анализатор Drivesafe II зав.№DS03HAQ009023435</t>
  </si>
  <si>
    <t>ИМ-00003021</t>
  </si>
  <si>
    <t>Анализатор Динго Е-200 s/n IROB81721</t>
  </si>
  <si>
    <t>ИМ-00011681</t>
  </si>
  <si>
    <t>Анализатор Drivesafe II зав.№DS03HСQ292101946</t>
  </si>
  <si>
    <t>ИМ-00002989</t>
  </si>
  <si>
    <t>Анализатор Динго Е-200 зав.№IRJAV1155</t>
  </si>
  <si>
    <t>ИМ-00003053</t>
  </si>
  <si>
    <t>Анализатор Drivesafe II зав. №DS03HAQ017024193</t>
  </si>
  <si>
    <t>ИМ-00003263</t>
  </si>
  <si>
    <t>Анализатор Динго Е-200 зав.№IRJ4A0538</t>
  </si>
  <si>
    <t>ИМ-00003010</t>
  </si>
  <si>
    <t>Анализатор Динго У-200 Эсмо 3 s/n/IRP2L1550 инв.№ИМ-00012090</t>
  </si>
  <si>
    <t>ИМ-00012090</t>
  </si>
  <si>
    <t>Анализатор Drivesafe II зав. №DS03HAP229020036</t>
  </si>
  <si>
    <t>ИМ-00003919</t>
  </si>
  <si>
    <t>Анализатор Динго Е-200 зав.№IRJCR0353 (БЕЗ КЕЙСА)</t>
  </si>
  <si>
    <t>ИМ-00003694</t>
  </si>
  <si>
    <t>Анализатор Динго Е-200 зав.№IRJ8G0052</t>
  </si>
  <si>
    <t>ИМ-00002880</t>
  </si>
  <si>
    <t>Анализатор концентрации паров эталона Динго Е-200 зав.№ IRP1A1811 инв. № ИМ-00011344 (ЭСМО)</t>
  </si>
  <si>
    <t>ИМ-00011344</t>
  </si>
  <si>
    <t>Анализатор Динго Е-200 зав.№IRJAV0950</t>
  </si>
  <si>
    <t>ИМ-00003047</t>
  </si>
  <si>
    <t>Анализатор Динго Е-200 зав.№IRJCR0097</t>
  </si>
  <si>
    <t>ИМ-00003703</t>
  </si>
  <si>
    <t>Анализатор Drivesafe II зав.№DS03HAP222019546</t>
  </si>
  <si>
    <t>ИМ-00003315</t>
  </si>
  <si>
    <t>Анализатор Динго Е-200 s/n IROB81735 инв. №ИМ-00011612</t>
  </si>
  <si>
    <t>ИМ-00011612</t>
  </si>
  <si>
    <t>Анализатор Drivesafe II зав.№DS03HАQ191027220</t>
  </si>
  <si>
    <t>ИМ-00003718</t>
  </si>
  <si>
    <t>Анализатор Динго Е-200 зав.№IRKBR0359</t>
  </si>
  <si>
    <t>ИМ-00006106</t>
  </si>
  <si>
    <t>Анализатор концентрации паров эталона Динго Е-200 зав.№IRP1A0687 инв.№ИМ-00011622(2 ЭСМО)</t>
  </si>
  <si>
    <t>ИМ-00011622</t>
  </si>
  <si>
    <t>Анализатор Drivesafe II зав.№DS03HAQ191027184</t>
  </si>
  <si>
    <t>ИМ-00002986</t>
  </si>
  <si>
    <t>Анализатор Динго Е-200 зав.№IRKCI0440</t>
  </si>
  <si>
    <t>ИМ-00005800</t>
  </si>
  <si>
    <t>Южно-Приобское 5 Шлюмберже</t>
  </si>
  <si>
    <t>Анализатор пороговый бесконтактный Lion Alсoblow зав.№АВ 132877</t>
  </si>
  <si>
    <t>ИМ-00002949</t>
  </si>
  <si>
    <t>Анализатор пороговый бесконтактный Lion Alсoblow зав.№АВ 132878</t>
  </si>
  <si>
    <t>ИМ-00002950</t>
  </si>
  <si>
    <t>Анализатор Drivesafe II зав.№DS02HBL052011258</t>
  </si>
  <si>
    <t>ИМ-00003320</t>
  </si>
  <si>
    <t>Анализатор Динго Е-200 зав.№IRJ4A0534</t>
  </si>
  <si>
    <t>ИМ-00003043</t>
  </si>
  <si>
    <t>Анализатор Drivesafe II зав.№ DS03HAQ167025995</t>
  </si>
  <si>
    <t>ИМ-00003042</t>
  </si>
  <si>
    <t>Анализатор Drivesafe II зав.№DS03HCQ229101724</t>
  </si>
  <si>
    <t>ИМ-00002828</t>
  </si>
  <si>
    <t>Анализатор Drivesafe II s/n DS03HCR130106549</t>
  </si>
  <si>
    <t>ИМ-00003092</t>
  </si>
  <si>
    <t>Анализатор Drivesafe II зав.№DS03HAP251020506</t>
  </si>
  <si>
    <t>ИМ-00002887</t>
  </si>
  <si>
    <t>Анализатор Drivesafe II зав.№DS03HAP251020532</t>
  </si>
  <si>
    <t>ИМ-00003022</t>
  </si>
  <si>
    <t>Анализатор Drivesafe II зав.№DS03HAQ088025926</t>
  </si>
  <si>
    <t>ИМ-00003025</t>
  </si>
  <si>
    <t>Анализатор Drivesafe II зав.№DS03HCQ217100355</t>
  </si>
  <si>
    <t>ИМ-00003680</t>
  </si>
  <si>
    <t>Анализатор видеоцифровой "РЕФЛЕКОМ" зав. № VLF-06-2184 инв № ИМ-00005743</t>
  </si>
  <si>
    <t>ИМ-00005743</t>
  </si>
  <si>
    <t>Анализатор Динго Е-200 s/n IRJCR0073</t>
  </si>
  <si>
    <t>ИМ-00003275</t>
  </si>
  <si>
    <t>Анализатор Динго Е-200 зав.№ IRK430348</t>
  </si>
  <si>
    <t>ИМ-00005080</t>
  </si>
  <si>
    <t>Анализатор Динго Е-200 зав.№ IRK431077</t>
  </si>
  <si>
    <t>ИМ-00005377</t>
  </si>
  <si>
    <t>Анализатор Динго Е-200 зав.№IRJ4A0403</t>
  </si>
  <si>
    <t>ИМ-00003041</t>
  </si>
  <si>
    <t>Анализатор Динго Е-200 зав.№IRJAV0989</t>
  </si>
  <si>
    <t>ИМ-00003051</t>
  </si>
  <si>
    <t>Анализатор Динго Е-200 зав.№IRJAV1154</t>
  </si>
  <si>
    <t>ИМ-00003046</t>
  </si>
  <si>
    <t>Анализатор Динго Е-200 зав.№IRJCR0224</t>
  </si>
  <si>
    <t>ИМ-00003268</t>
  </si>
  <si>
    <t>Анализатор Динго Е-200 зав.№IRJCR1293</t>
  </si>
  <si>
    <t>ИМ-00003702</t>
  </si>
  <si>
    <t>Анализатор пороговый бесконтактный Lion Alсoblow зав.№АВ 125180</t>
  </si>
  <si>
    <t>ИМ-00003321</t>
  </si>
  <si>
    <t>Анализатор пороговый бесконтактный Lion Alсoblow зав.№АВ 69874 инв.№ИМ-00011539</t>
  </si>
  <si>
    <t>ИМ-00011539</t>
  </si>
  <si>
    <t>Анализатор Drivesafe II зав.№ DS03HAQ191027200</t>
  </si>
  <si>
    <t>ИМ-00003126</t>
  </si>
  <si>
    <t>Анализатор Drivesafe II зав.№DS03HAP285020990</t>
  </si>
  <si>
    <t>ИМ-00002928</t>
  </si>
  <si>
    <t>Анализатор Drivesafe II зав.№DS03HCQ293103403</t>
  </si>
  <si>
    <t>ИМ-00003581</t>
  </si>
  <si>
    <t>Анализатор Динго Е-200 зав.№IRIAQ0211</t>
  </si>
  <si>
    <t>ИМ-00004895</t>
  </si>
  <si>
    <t>Анализатор Динго Е-200 зав.№IRJCR0225</t>
  </si>
  <si>
    <t>ИМ-00003271</t>
  </si>
  <si>
    <t>Анализатор Динго Е-200 зав.№IRKCI0459</t>
  </si>
  <si>
    <t>ИМ-00005802</t>
  </si>
  <si>
    <t>Анализатор Динго Е-200 зав.№IRKCI0460</t>
  </si>
  <si>
    <t>ИМ-00005803</t>
  </si>
  <si>
    <t>Анализатор Динго Е010 зав.№ААВI8G0898</t>
  </si>
  <si>
    <t>ИМ-00002827</t>
  </si>
  <si>
    <t>Анализатор Динго Е010 зав.№ААВIAV1751</t>
  </si>
  <si>
    <t>ИМ-00003582</t>
  </si>
  <si>
    <t>Анализатор Динго Е010 зав.№ААВIAV1886</t>
  </si>
  <si>
    <t>ИМ-00002991</t>
  </si>
  <si>
    <t>📖 Инструкция по использованию журнала поверки</t>
  </si>
  <si>
    <t>ШАГ 1</t>
  </si>
  <si>
    <t>Перейдите на лист "Тонометры" или "Алкометры"</t>
  </si>
  <si>
    <t>ШАГ 2</t>
  </si>
  <si>
    <t>Найдите нужный прибор по наименованию или инвентарному номеру</t>
  </si>
  <si>
    <t>ШАГ 3</t>
  </si>
  <si>
    <t>В колонке F "Дата истечения поверки" — кликните на ячейку и введите дату в формате ДД.ММ.ГГГГ</t>
  </si>
  <si>
    <t xml:space="preserve">  Например: 15.05.2026</t>
  </si>
  <si>
    <t>ШАГ 4</t>
  </si>
  <si>
    <t>Колонка G "Дата напоминания" заполнится АВТОМАТИЧЕСКИ (на 2 месяца раньше даты поверки)</t>
  </si>
  <si>
    <t>ШАГ 5</t>
  </si>
  <si>
    <t>Колонка H "Статус" обновляется автоматически:</t>
  </si>
  <si>
    <t xml:space="preserve">  🟢 В порядке — до напоминания ещё есть время</t>
  </si>
  <si>
    <t xml:space="preserve">  🟡 Скоро истекает — наступила дата напоминания</t>
  </si>
  <si>
    <t xml:space="preserve">  🔴 Просрочена — дата поверки уже прошла</t>
  </si>
  <si>
    <t xml:space="preserve">  ❓ Не указана — дата не введена</t>
  </si>
  <si>
    <t>ФИЛЬТРАЦИЯ</t>
  </si>
  <si>
    <t>Используйте фильтры в строке заголовков (строка 4) для:</t>
  </si>
  <si>
    <t xml:space="preserve">  • Отбора приборов по местонахождению</t>
  </si>
  <si>
    <t xml:space="preserve">  • Показа только просроченных или требующих внимания</t>
  </si>
  <si>
    <t xml:space="preserve">  • Поиска по инвентарному номеру</t>
  </si>
  <si>
    <t>ОБНОВЛЕНИЕ</t>
  </si>
  <si>
    <t>При получении нового остатка — добавляйте строки в конец таблицы,</t>
  </si>
  <si>
    <t xml:space="preserve">  сохраняя формат колонок F, G, H</t>
  </si>
  <si>
    <t>ИТОГО</t>
  </si>
  <si>
    <t>Тонометров в реестре: 187 шт.</t>
  </si>
  <si>
    <t>Алкометров в реестре: 136 шт.</t>
  </si>
  <si>
    <t>Дата формирования реестра: 19.03.2026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</si>
</sst>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3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555555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000FF"/>
      <name val="Calibri"/>
    </font>
    <font>
      <b/>
      <sz val="10"/>
      <name val="Calibri"/>
    </font>
    <font>
      <i/>
      <sz val="9"/>
      <color rgb="FF666666"/>
      <name val="Calibri"/>
    </font>
    <font>
      <sz val="10"/>
      <color rgb="FF333333"/>
      <name val="Calibri"/>
    </font>
    <font>
      <b/>
      <sz val="11"/>
      <color rgb="FF1F6B8E"/>
      <name val="Calibri"/>
    </font>
    <font>
      <b/>
      <sz val="10"/>
      <color rgb="FF0000FF"/>
      <name val="Calibri"/>
    </font>
    <font>
      <sz val="10"/>
      <name val="Calibri"/>
      <family val="2"/>
      <charset val="204"/>
    </font>
    <font>
      <sz val="9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F6B8E"/>
      </patternFill>
    </fill>
    <fill>
      <patternFill patternType="solid">
        <fgColor rgb="FFFFFFFF"/>
      </patternFill>
    </fill>
    <fill>
      <patternFill patternType="solid">
        <fgColor rgb="FFF0F7FF"/>
      </patternFill>
    </fill>
    <fill>
      <patternFill patternType="solid">
        <fgColor rgb="FF7B3F00"/>
      </patternFill>
    </fill>
    <fill>
      <patternFill patternType="solid">
        <fgColor rgb="FFFFF8F0"/>
      </patternFill>
    </fill>
    <fill>
      <patternFill patternType="solid">
        <fgColor rgb="FF2E7D32"/>
      </patternFill>
    </fill>
  </fills>
  <borders count="6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/>
      <bottom style="thin">
        <color indexed="64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4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left" vertical="center" wrapText="1" indent="1"/>
    </xf>
    <xf numFmtId="164" fontId="5" fillId="3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 inden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 indent="1"/>
    </xf>
    <xf numFmtId="164" fontId="5" fillId="6" borderId="1" xfId="0" applyNumberFormat="1" applyFont="1" applyFill="1" applyBorder="1" applyAlignment="1">
      <alignment horizontal="center" vertical="center" wrapText="1"/>
    </xf>
    <xf numFmtId="0" fontId="9" fillId="0" borderId="0" xfId="0" applyFont="1"/>
    <xf numFmtId="0" fontId="4" fillId="0" borderId="0" xfId="0" applyFont="1" applyAlignment="1">
      <alignment horizontal="left" vertical="center" wrapText="1" indent="1"/>
    </xf>
    <xf numFmtId="164" fontId="4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 wrapText="1"/>
    </xf>
    <xf numFmtId="164" fontId="4" fillId="4" borderId="2" xfId="0" applyNumberFormat="1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6" borderId="2" xfId="0" applyFont="1" applyFill="1" applyBorder="1" applyAlignment="1">
      <alignment horizontal="center" vertical="center" wrapText="1"/>
    </xf>
    <xf numFmtId="14" fontId="3" fillId="5" borderId="1" xfId="0" applyNumberFormat="1" applyFont="1" applyFill="1" applyBorder="1" applyAlignment="1">
      <alignment horizontal="center" vertical="center" wrapText="1"/>
    </xf>
    <xf numFmtId="14" fontId="4" fillId="3" borderId="2" xfId="0" applyNumberFormat="1" applyFont="1" applyFill="1" applyBorder="1" applyAlignment="1">
      <alignment horizontal="center" vertical="center" wrapText="1"/>
    </xf>
    <xf numFmtId="14" fontId="4" fillId="6" borderId="2" xfId="0" applyNumberFormat="1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0" fontId="3" fillId="2" borderId="4" xfId="0" applyFont="1" applyFill="1" applyBorder="1" applyAlignment="1">
      <alignment horizontal="center" vertical="center" wrapText="1"/>
    </xf>
    <xf numFmtId="0" fontId="12" fillId="0" borderId="5" xfId="0" applyFont="1" applyBorder="1" applyAlignment="1">
      <alignment horizontal="center"/>
    </xf>
    <xf numFmtId="0" fontId="7" fillId="0" borderId="0" xfId="0" applyFont="1" applyAlignment="1">
      <alignment horizontal="left" wrapText="1"/>
    </xf>
    <xf numFmtId="0" fontId="0" fillId="0" borderId="0" xfId="0"/>
    <xf numFmtId="0" fontId="2" fillId="0" borderId="3" xfId="0" applyFont="1" applyBorder="1" applyAlignment="1">
      <alignment horizontal="center" vertical="center" wrapText="1"/>
    </xf>
    <xf numFmtId="0" fontId="0" fillId="0" borderId="3" xfId="0" applyBorder="1"/>
    <xf numFmtId="0" fontId="1" fillId="2" borderId="0" xfId="0" applyFont="1" applyFill="1" applyAlignment="1">
      <alignment horizontal="center" vertical="center" wrapText="1"/>
    </xf>
    <xf numFmtId="14" fontId="0" fillId="0" borderId="0" xfId="0" applyNumberFormat="1"/>
    <xf numFmtId="0" fontId="2" fillId="0" borderId="0" xfId="0" applyFont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 wrapText="1" indent="1"/>
    </xf>
    <xf numFmtId="0" fontId="1" fillId="7" borderId="0" xfId="0" applyFont="1" applyFill="1" applyAlignment="1">
      <alignment horizontal="center" vertical="center" wrapText="1"/>
    </xf>
    <xf numFmtId="14" fontId="10" fillId="6" borderId="2" xfId="0" applyNumberFormat="1" applyFont="1" applyFill="1" applyBorder="1" applyAlignment="1">
      <alignment horizontal="center" vertical="center" wrapText="1"/>
    </xf>
    <xf numFmtId="0" fontId="12" fillId="0" borderId="5" xfId="0" applyNumberFormat="1" applyFont="1" applyBorder="1" applyAlignment="1">
      <alignment horizontal="center"/>
    </xf>
    <xf numFmtId="14" fontId="3" fillId="2" borderId="4" xfId="0" applyNumberFormat="1" applyFont="1" applyFill="1" applyBorder="1" applyAlignment="1">
      <alignment horizontal="center" vertical="center" wrapText="1"/>
    </xf>
    <xf numFmtId="14" fontId="10" fillId="3" borderId="2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14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FFFACD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ACD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FFFF99"/>
        </patternFill>
      </fill>
    </dxf>
    <dxf>
      <fill>
        <patternFill patternType="solid">
          <fgColor rgb="FFFFAAAA"/>
        </patternFill>
      </fill>
    </dxf>
    <dxf>
      <fill>
        <patternFill patternType="solid">
          <fgColor rgb="FFCCFFCC"/>
        </patternFill>
      </fill>
    </dxf>
    <dxf>
      <fill>
        <patternFill patternType="solid">
          <fgColor rgb="FFFFFACD"/>
        </patternFill>
      </fill>
    </dxf>
    <dxf>
      <fill>
        <patternFill patternType="solid">
          <fgColor rgb="FFFFCCCC"/>
        </patternFill>
      </fill>
    </dxf>
    <dxf>
      <fill>
        <patternFill patternType="solid">
          <fgColor rgb="FFFFFACD"/>
        </patternFill>
      </fill>
    </dxf>
    <dxf>
      <fill>
        <patternFill patternType="solid">
          <fgColor rgb="FFFF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3"/>
  <sheetViews>
    <sheetView tabSelected="1" workbookViewId="0">
      <pane xSplit="1" ySplit="4" topLeftCell="B5" activePane="bottomRight" state="frozen"/>
      <selection pane="topRight"/>
      <selection pane="bottomLeft"/>
      <selection pane="bottomRight" activeCell="F11" sqref="F11"/>
    </sheetView>
  </sheetViews>
  <sheetFormatPr defaultRowHeight="15.05" x14ac:dyDescent="0.3"/>
  <cols>
    <col min="1" max="1" width="5" style="22" customWidth="1"/>
    <col min="2" max="2" width="42" style="22" customWidth="1"/>
    <col min="3" max="3" width="45" style="22" customWidth="1"/>
    <col min="4" max="4" width="16" style="22" customWidth="1"/>
    <col min="5" max="5" width="12" style="22" customWidth="1"/>
    <col min="6" max="6" width="12" style="23" customWidth="1"/>
    <col min="7" max="10" width="14" style="22" customWidth="1"/>
    <col min="11" max="11" width="18" style="22" customWidth="1"/>
    <col min="12" max="12" width="20" style="22" customWidth="1"/>
  </cols>
  <sheetData>
    <row r="1" spans="1:12" ht="29.95" customHeight="1" x14ac:dyDescent="0.3">
      <c r="A1" s="30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18" customHeight="1" x14ac:dyDescent="0.3">
      <c r="A2" s="28" t="s">
        <v>1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3" spans="1:12" x14ac:dyDescent="0.3">
      <c r="A3" s="25">
        <v>1</v>
      </c>
      <c r="B3" s="25">
        <v>2</v>
      </c>
      <c r="C3" s="25">
        <v>3</v>
      </c>
      <c r="D3" s="25">
        <v>4</v>
      </c>
      <c r="E3" s="25">
        <v>5</v>
      </c>
      <c r="F3" s="37">
        <v>6</v>
      </c>
      <c r="G3" s="25">
        <v>7</v>
      </c>
      <c r="H3" s="25">
        <v>8</v>
      </c>
      <c r="I3" s="25">
        <v>9</v>
      </c>
      <c r="J3" s="25">
        <v>10</v>
      </c>
      <c r="K3" s="25">
        <v>11</v>
      </c>
      <c r="L3" s="25">
        <v>12</v>
      </c>
    </row>
    <row r="4" spans="1:12" ht="39.950000000000003" customHeight="1" x14ac:dyDescent="0.3">
      <c r="A4" s="24" t="s">
        <v>2</v>
      </c>
      <c r="B4" s="24" t="s">
        <v>3</v>
      </c>
      <c r="C4" s="24" t="s">
        <v>4</v>
      </c>
      <c r="D4" s="24" t="s">
        <v>5</v>
      </c>
      <c r="E4" s="24" t="s">
        <v>6</v>
      </c>
      <c r="F4" s="38" t="s">
        <v>7</v>
      </c>
      <c r="G4" s="24" t="s">
        <v>8</v>
      </c>
      <c r="H4" s="24" t="s">
        <v>9</v>
      </c>
      <c r="I4" s="24" t="s">
        <v>10</v>
      </c>
      <c r="J4" s="24" t="s">
        <v>11</v>
      </c>
      <c r="K4" s="24" t="s">
        <v>12</v>
      </c>
      <c r="L4" s="24" t="s">
        <v>13</v>
      </c>
    </row>
    <row r="5" spans="1:12" ht="21.95" customHeight="1" x14ac:dyDescent="0.3">
      <c r="A5" s="1">
        <v>1</v>
      </c>
      <c r="B5" s="2" t="s">
        <v>14</v>
      </c>
      <c r="C5" s="2" t="s">
        <v>15</v>
      </c>
      <c r="D5" s="2" t="s">
        <v>16</v>
      </c>
      <c r="E5" s="3" t="s">
        <v>17</v>
      </c>
      <c r="F5" s="39">
        <v>46288</v>
      </c>
      <c r="G5" s="13">
        <f t="shared" ref="G5:G36" si="0">IF(F5="","",DATE(YEAR(F5),MONTH(F5)-2,DAY(F5)))</f>
        <v>46226</v>
      </c>
      <c r="H5" s="13">
        <f t="shared" ref="H5:H36" si="1">IF(F5="","",DATE(YEAR(F5),MONTH(F5)-1,DAY(F5)))</f>
        <v>46257</v>
      </c>
      <c r="I5" s="13">
        <f t="shared" ref="I5:I36" si="2">IF(F5="","",F5-7)</f>
        <v>46281</v>
      </c>
      <c r="J5" s="13">
        <f t="shared" ref="J5:J36" si="3">IF(F5="","",F5-2)</f>
        <v>46286</v>
      </c>
      <c r="K5" s="14" t="str">
        <f t="shared" ref="K5:K36" ca="1" si="4">IF(F5="","❓ Не указана",IF(F5&lt;TODAY(),"🔴 Просрочена",IF(J5&lt;=TODAY(),"🔴 Просрочена скоро",IF(I5&lt;=TODAY(),"🟡 Скоро (-7 дн.)",IF(H5&lt;=TODAY(),"🟡 Скоро (-1 мес.)",IF(G5&lt;=TODAY(),"🟡 Скоро (-2 мес.)","🟢 В порядке"))))))</f>
        <v>🟢 В порядке</v>
      </c>
      <c r="L5" s="1"/>
    </row>
    <row r="6" spans="1:12" ht="21.95" customHeight="1" x14ac:dyDescent="0.3">
      <c r="A6" s="4">
        <v>2</v>
      </c>
      <c r="B6" s="5" t="s">
        <v>14</v>
      </c>
      <c r="C6" s="5" t="s">
        <v>18</v>
      </c>
      <c r="D6" s="5" t="s">
        <v>19</v>
      </c>
      <c r="E6" s="6" t="s">
        <v>17</v>
      </c>
      <c r="F6" s="39">
        <v>46289</v>
      </c>
      <c r="G6" s="15">
        <f t="shared" si="0"/>
        <v>46227</v>
      </c>
      <c r="H6" s="15">
        <f t="shared" si="1"/>
        <v>46258</v>
      </c>
      <c r="I6" s="15">
        <f t="shared" si="2"/>
        <v>46282</v>
      </c>
      <c r="J6" s="15">
        <f t="shared" si="3"/>
        <v>46287</v>
      </c>
      <c r="K6" s="16" t="str">
        <f t="shared" ca="1" si="4"/>
        <v>🟢 В порядке</v>
      </c>
      <c r="L6" s="4"/>
    </row>
    <row r="7" spans="1:12" ht="21.95" customHeight="1" x14ac:dyDescent="0.3">
      <c r="A7" s="1">
        <v>3</v>
      </c>
      <c r="B7" s="2" t="s">
        <v>20</v>
      </c>
      <c r="C7" s="2" t="s">
        <v>21</v>
      </c>
      <c r="D7" s="2" t="s">
        <v>22</v>
      </c>
      <c r="E7" s="3" t="s">
        <v>17</v>
      </c>
      <c r="F7" s="39">
        <v>46290</v>
      </c>
      <c r="G7" s="13">
        <f t="shared" si="0"/>
        <v>46228</v>
      </c>
      <c r="H7" s="13">
        <f t="shared" si="1"/>
        <v>46259</v>
      </c>
      <c r="I7" s="13">
        <f t="shared" si="2"/>
        <v>46283</v>
      </c>
      <c r="J7" s="13">
        <f t="shared" si="3"/>
        <v>46288</v>
      </c>
      <c r="K7" s="14" t="str">
        <f t="shared" ca="1" si="4"/>
        <v>🟢 В порядке</v>
      </c>
      <c r="L7" s="1"/>
    </row>
    <row r="8" spans="1:12" ht="21.95" customHeight="1" x14ac:dyDescent="0.3">
      <c r="A8" s="4">
        <v>4</v>
      </c>
      <c r="B8" s="5" t="s">
        <v>20</v>
      </c>
      <c r="C8" s="5" t="s">
        <v>23</v>
      </c>
      <c r="D8" s="5" t="s">
        <v>24</v>
      </c>
      <c r="E8" s="6" t="s">
        <v>17</v>
      </c>
      <c r="F8" s="39">
        <v>46291</v>
      </c>
      <c r="G8" s="15">
        <f t="shared" si="0"/>
        <v>46229</v>
      </c>
      <c r="H8" s="15">
        <f t="shared" si="1"/>
        <v>46260</v>
      </c>
      <c r="I8" s="15">
        <f t="shared" si="2"/>
        <v>46284</v>
      </c>
      <c r="J8" s="15">
        <f t="shared" si="3"/>
        <v>46289</v>
      </c>
      <c r="K8" s="16" t="str">
        <f t="shared" ca="1" si="4"/>
        <v>🟢 В порядке</v>
      </c>
      <c r="L8" s="4"/>
    </row>
    <row r="9" spans="1:12" ht="21.95" customHeight="1" x14ac:dyDescent="0.3">
      <c r="A9" s="1">
        <v>5</v>
      </c>
      <c r="B9" s="2" t="s">
        <v>20</v>
      </c>
      <c r="C9" s="2" t="s">
        <v>25</v>
      </c>
      <c r="D9" s="2" t="s">
        <v>26</v>
      </c>
      <c r="E9" s="3" t="s">
        <v>17</v>
      </c>
      <c r="F9" s="39">
        <v>46292</v>
      </c>
      <c r="G9" s="13">
        <f t="shared" si="0"/>
        <v>46230</v>
      </c>
      <c r="H9" s="13">
        <f t="shared" si="1"/>
        <v>46261</v>
      </c>
      <c r="I9" s="13">
        <f t="shared" si="2"/>
        <v>46285</v>
      </c>
      <c r="J9" s="13">
        <f t="shared" si="3"/>
        <v>46290</v>
      </c>
      <c r="K9" s="14" t="str">
        <f t="shared" ca="1" si="4"/>
        <v>🟢 В порядке</v>
      </c>
      <c r="L9" s="1"/>
    </row>
    <row r="10" spans="1:12" ht="21.95" customHeight="1" x14ac:dyDescent="0.3">
      <c r="A10" s="4">
        <v>6</v>
      </c>
      <c r="B10" s="5" t="s">
        <v>20</v>
      </c>
      <c r="C10" s="5" t="s">
        <v>27</v>
      </c>
      <c r="D10" s="5" t="s">
        <v>28</v>
      </c>
      <c r="E10" s="6" t="s">
        <v>17</v>
      </c>
      <c r="F10" s="39">
        <v>46293</v>
      </c>
      <c r="G10" s="15">
        <f t="shared" si="0"/>
        <v>46231</v>
      </c>
      <c r="H10" s="15">
        <f t="shared" si="1"/>
        <v>46262</v>
      </c>
      <c r="I10" s="15">
        <f t="shared" si="2"/>
        <v>46286</v>
      </c>
      <c r="J10" s="15">
        <f t="shared" si="3"/>
        <v>46291</v>
      </c>
      <c r="K10" s="16" t="str">
        <f t="shared" ca="1" si="4"/>
        <v>🟢 В порядке</v>
      </c>
      <c r="L10" s="4"/>
    </row>
    <row r="11" spans="1:12" ht="21.95" customHeight="1" x14ac:dyDescent="0.3">
      <c r="A11" s="1">
        <v>7</v>
      </c>
      <c r="B11" s="2" t="s">
        <v>29</v>
      </c>
      <c r="C11" s="2" t="s">
        <v>30</v>
      </c>
      <c r="D11" s="2" t="s">
        <v>31</v>
      </c>
      <c r="E11" s="3" t="s">
        <v>17</v>
      </c>
      <c r="F11" s="39">
        <v>46294</v>
      </c>
      <c r="G11" s="13">
        <f t="shared" si="0"/>
        <v>46232</v>
      </c>
      <c r="H11" s="13">
        <f t="shared" si="1"/>
        <v>46263</v>
      </c>
      <c r="I11" s="13">
        <f t="shared" si="2"/>
        <v>46287</v>
      </c>
      <c r="J11" s="13">
        <f t="shared" si="3"/>
        <v>46292</v>
      </c>
      <c r="K11" s="14" t="str">
        <f t="shared" ca="1" si="4"/>
        <v>🟢 В порядке</v>
      </c>
      <c r="L11" s="1"/>
    </row>
    <row r="12" spans="1:12" ht="21.95" customHeight="1" x14ac:dyDescent="0.3">
      <c r="A12" s="4">
        <v>8</v>
      </c>
      <c r="B12" s="5" t="s">
        <v>29</v>
      </c>
      <c r="C12" s="5" t="s">
        <v>32</v>
      </c>
      <c r="D12" s="5" t="s">
        <v>33</v>
      </c>
      <c r="E12" s="6" t="s">
        <v>17</v>
      </c>
      <c r="F12" s="39">
        <v>46295</v>
      </c>
      <c r="G12" s="15">
        <f t="shared" si="0"/>
        <v>46233</v>
      </c>
      <c r="H12" s="15">
        <f t="shared" si="1"/>
        <v>46264</v>
      </c>
      <c r="I12" s="15">
        <f t="shared" si="2"/>
        <v>46288</v>
      </c>
      <c r="J12" s="15">
        <f t="shared" si="3"/>
        <v>46293</v>
      </c>
      <c r="K12" s="16" t="str">
        <f t="shared" ca="1" si="4"/>
        <v>🟢 В порядке</v>
      </c>
      <c r="L12" s="4"/>
    </row>
    <row r="13" spans="1:12" ht="21.95" customHeight="1" x14ac:dyDescent="0.3">
      <c r="A13" s="1">
        <v>9</v>
      </c>
      <c r="B13" s="2" t="s">
        <v>29</v>
      </c>
      <c r="C13" s="2" t="s">
        <v>34</v>
      </c>
      <c r="D13" s="2" t="s">
        <v>35</v>
      </c>
      <c r="E13" s="3" t="s">
        <v>17</v>
      </c>
      <c r="F13" s="39">
        <v>46296</v>
      </c>
      <c r="G13" s="13">
        <f t="shared" si="0"/>
        <v>46235</v>
      </c>
      <c r="H13" s="13">
        <f t="shared" si="1"/>
        <v>46266</v>
      </c>
      <c r="I13" s="13">
        <f t="shared" si="2"/>
        <v>46289</v>
      </c>
      <c r="J13" s="13">
        <f t="shared" si="3"/>
        <v>46294</v>
      </c>
      <c r="K13" s="14" t="str">
        <f t="shared" ca="1" si="4"/>
        <v>🟢 В порядке</v>
      </c>
      <c r="L13" s="1"/>
    </row>
    <row r="14" spans="1:12" ht="21.95" customHeight="1" x14ac:dyDescent="0.3">
      <c r="A14" s="4">
        <v>10</v>
      </c>
      <c r="B14" s="5" t="s">
        <v>29</v>
      </c>
      <c r="C14" s="5" t="s">
        <v>36</v>
      </c>
      <c r="D14" s="5" t="s">
        <v>37</v>
      </c>
      <c r="E14" s="6" t="s">
        <v>17</v>
      </c>
      <c r="F14" s="39">
        <v>46297</v>
      </c>
      <c r="G14" s="15">
        <f t="shared" si="0"/>
        <v>46236</v>
      </c>
      <c r="H14" s="15">
        <f t="shared" si="1"/>
        <v>46267</v>
      </c>
      <c r="I14" s="15">
        <f t="shared" si="2"/>
        <v>46290</v>
      </c>
      <c r="J14" s="15">
        <f t="shared" si="3"/>
        <v>46295</v>
      </c>
      <c r="K14" s="16" t="str">
        <f t="shared" ca="1" si="4"/>
        <v>🟢 В порядке</v>
      </c>
      <c r="L14" s="4"/>
    </row>
    <row r="15" spans="1:12" ht="21.95" customHeight="1" x14ac:dyDescent="0.3">
      <c r="A15" s="1">
        <v>11</v>
      </c>
      <c r="B15" s="2" t="s">
        <v>38</v>
      </c>
      <c r="C15" s="2" t="s">
        <v>39</v>
      </c>
      <c r="D15" s="2" t="s">
        <v>40</v>
      </c>
      <c r="E15" s="3" t="s">
        <v>17</v>
      </c>
      <c r="F15" s="39">
        <v>46298</v>
      </c>
      <c r="G15" s="13">
        <f t="shared" si="0"/>
        <v>46237</v>
      </c>
      <c r="H15" s="13">
        <f t="shared" si="1"/>
        <v>46268</v>
      </c>
      <c r="I15" s="13">
        <f t="shared" si="2"/>
        <v>46291</v>
      </c>
      <c r="J15" s="13">
        <f t="shared" si="3"/>
        <v>46296</v>
      </c>
      <c r="K15" s="14" t="str">
        <f t="shared" ca="1" si="4"/>
        <v>🟢 В порядке</v>
      </c>
      <c r="L15" s="1"/>
    </row>
    <row r="16" spans="1:12" ht="21.95" customHeight="1" x14ac:dyDescent="0.3">
      <c r="A16" s="4">
        <v>12</v>
      </c>
      <c r="B16" s="5" t="s">
        <v>38</v>
      </c>
      <c r="C16" s="5" t="s">
        <v>41</v>
      </c>
      <c r="D16" s="5" t="s">
        <v>42</v>
      </c>
      <c r="E16" s="6" t="s">
        <v>17</v>
      </c>
      <c r="F16" s="39">
        <v>46299</v>
      </c>
      <c r="G16" s="15">
        <f t="shared" si="0"/>
        <v>46238</v>
      </c>
      <c r="H16" s="15">
        <f t="shared" si="1"/>
        <v>46269</v>
      </c>
      <c r="I16" s="15">
        <f t="shared" si="2"/>
        <v>46292</v>
      </c>
      <c r="J16" s="15">
        <f t="shared" si="3"/>
        <v>46297</v>
      </c>
      <c r="K16" s="16" t="str">
        <f t="shared" ca="1" si="4"/>
        <v>🟢 В порядке</v>
      </c>
      <c r="L16" s="4"/>
    </row>
    <row r="17" spans="1:12" ht="21.95" customHeight="1" x14ac:dyDescent="0.3">
      <c r="A17" s="1">
        <v>13</v>
      </c>
      <c r="B17" s="2" t="s">
        <v>43</v>
      </c>
      <c r="C17" s="2" t="s">
        <v>44</v>
      </c>
      <c r="D17" s="2" t="s">
        <v>45</v>
      </c>
      <c r="E17" s="3" t="s">
        <v>17</v>
      </c>
      <c r="F17" s="39">
        <v>46300</v>
      </c>
      <c r="G17" s="13">
        <f t="shared" si="0"/>
        <v>46239</v>
      </c>
      <c r="H17" s="13">
        <f t="shared" si="1"/>
        <v>46270</v>
      </c>
      <c r="I17" s="13">
        <f t="shared" si="2"/>
        <v>46293</v>
      </c>
      <c r="J17" s="13">
        <f t="shared" si="3"/>
        <v>46298</v>
      </c>
      <c r="K17" s="14" t="str">
        <f t="shared" ca="1" si="4"/>
        <v>🟢 В порядке</v>
      </c>
      <c r="L17" s="1"/>
    </row>
    <row r="18" spans="1:12" ht="21.95" customHeight="1" x14ac:dyDescent="0.3">
      <c r="A18" s="4">
        <v>14</v>
      </c>
      <c r="B18" s="5" t="s">
        <v>43</v>
      </c>
      <c r="C18" s="5" t="s">
        <v>46</v>
      </c>
      <c r="D18" s="5" t="s">
        <v>47</v>
      </c>
      <c r="E18" s="6" t="s">
        <v>17</v>
      </c>
      <c r="F18" s="39">
        <v>46301</v>
      </c>
      <c r="G18" s="15">
        <f t="shared" si="0"/>
        <v>46240</v>
      </c>
      <c r="H18" s="15">
        <f t="shared" si="1"/>
        <v>46271</v>
      </c>
      <c r="I18" s="15">
        <f t="shared" si="2"/>
        <v>46294</v>
      </c>
      <c r="J18" s="15">
        <f t="shared" si="3"/>
        <v>46299</v>
      </c>
      <c r="K18" s="16" t="str">
        <f t="shared" ca="1" si="4"/>
        <v>🟢 В порядке</v>
      </c>
      <c r="L18" s="4"/>
    </row>
    <row r="19" spans="1:12" ht="21.95" customHeight="1" x14ac:dyDescent="0.3">
      <c r="A19" s="1">
        <v>15</v>
      </c>
      <c r="B19" s="2" t="s">
        <v>43</v>
      </c>
      <c r="C19" s="2" t="s">
        <v>48</v>
      </c>
      <c r="D19" s="2" t="s">
        <v>49</v>
      </c>
      <c r="E19" s="3" t="s">
        <v>17</v>
      </c>
      <c r="F19" s="39">
        <v>46302</v>
      </c>
      <c r="G19" s="13">
        <f t="shared" si="0"/>
        <v>46241</v>
      </c>
      <c r="H19" s="13">
        <f t="shared" si="1"/>
        <v>46272</v>
      </c>
      <c r="I19" s="13">
        <f t="shared" si="2"/>
        <v>46295</v>
      </c>
      <c r="J19" s="13">
        <f t="shared" si="3"/>
        <v>46300</v>
      </c>
      <c r="K19" s="14" t="str">
        <f t="shared" ca="1" si="4"/>
        <v>🟢 В порядке</v>
      </c>
      <c r="L19" s="1"/>
    </row>
    <row r="20" spans="1:12" ht="21.95" customHeight="1" x14ac:dyDescent="0.3">
      <c r="A20" s="4">
        <v>16</v>
      </c>
      <c r="B20" s="5" t="s">
        <v>50</v>
      </c>
      <c r="C20" s="5" t="s">
        <v>51</v>
      </c>
      <c r="D20" s="5" t="s">
        <v>52</v>
      </c>
      <c r="E20" s="6" t="s">
        <v>17</v>
      </c>
      <c r="F20" s="39">
        <v>46303</v>
      </c>
      <c r="G20" s="15">
        <f t="shared" si="0"/>
        <v>46242</v>
      </c>
      <c r="H20" s="15">
        <f t="shared" si="1"/>
        <v>46273</v>
      </c>
      <c r="I20" s="15">
        <f t="shared" si="2"/>
        <v>46296</v>
      </c>
      <c r="J20" s="15">
        <f t="shared" si="3"/>
        <v>46301</v>
      </c>
      <c r="K20" s="16" t="str">
        <f t="shared" ca="1" si="4"/>
        <v>🟢 В порядке</v>
      </c>
      <c r="L20" s="4"/>
    </row>
    <row r="21" spans="1:12" ht="21.95" customHeight="1" x14ac:dyDescent="0.3">
      <c r="A21" s="1">
        <v>17</v>
      </c>
      <c r="B21" s="2" t="s">
        <v>50</v>
      </c>
      <c r="C21" s="2" t="s">
        <v>53</v>
      </c>
      <c r="D21" s="2" t="s">
        <v>54</v>
      </c>
      <c r="E21" s="3" t="s">
        <v>17</v>
      </c>
      <c r="F21" s="39">
        <v>46304</v>
      </c>
      <c r="G21" s="13">
        <f t="shared" si="0"/>
        <v>46243</v>
      </c>
      <c r="H21" s="13">
        <f t="shared" si="1"/>
        <v>46274</v>
      </c>
      <c r="I21" s="13">
        <f t="shared" si="2"/>
        <v>46297</v>
      </c>
      <c r="J21" s="13">
        <f t="shared" si="3"/>
        <v>46302</v>
      </c>
      <c r="K21" s="14" t="str">
        <f t="shared" ca="1" si="4"/>
        <v>🟢 В порядке</v>
      </c>
      <c r="L21" s="1"/>
    </row>
    <row r="22" spans="1:12" ht="21.95" customHeight="1" x14ac:dyDescent="0.3">
      <c r="A22" s="4">
        <v>18</v>
      </c>
      <c r="B22" s="5" t="s">
        <v>55</v>
      </c>
      <c r="C22" s="5" t="s">
        <v>56</v>
      </c>
      <c r="D22" s="5" t="s">
        <v>57</v>
      </c>
      <c r="E22" s="6" t="s">
        <v>17</v>
      </c>
      <c r="F22" s="39">
        <v>46305</v>
      </c>
      <c r="G22" s="15">
        <f t="shared" si="0"/>
        <v>46244</v>
      </c>
      <c r="H22" s="15">
        <f t="shared" si="1"/>
        <v>46275</v>
      </c>
      <c r="I22" s="15">
        <f t="shared" si="2"/>
        <v>46298</v>
      </c>
      <c r="J22" s="15">
        <f t="shared" si="3"/>
        <v>46303</v>
      </c>
      <c r="K22" s="16" t="str">
        <f t="shared" ca="1" si="4"/>
        <v>🟢 В порядке</v>
      </c>
      <c r="L22" s="4"/>
    </row>
    <row r="23" spans="1:12" ht="21.95" customHeight="1" x14ac:dyDescent="0.3">
      <c r="A23" s="1">
        <v>19</v>
      </c>
      <c r="B23" s="2" t="s">
        <v>55</v>
      </c>
      <c r="C23" s="2" t="s">
        <v>58</v>
      </c>
      <c r="D23" s="2" t="s">
        <v>59</v>
      </c>
      <c r="E23" s="3" t="s">
        <v>17</v>
      </c>
      <c r="F23" s="39">
        <v>46306</v>
      </c>
      <c r="G23" s="13">
        <f t="shared" si="0"/>
        <v>46245</v>
      </c>
      <c r="H23" s="13">
        <f t="shared" si="1"/>
        <v>46276</v>
      </c>
      <c r="I23" s="13">
        <f t="shared" si="2"/>
        <v>46299</v>
      </c>
      <c r="J23" s="13">
        <f t="shared" si="3"/>
        <v>46304</v>
      </c>
      <c r="K23" s="14" t="str">
        <f t="shared" ca="1" si="4"/>
        <v>🟢 В порядке</v>
      </c>
      <c r="L23" s="1"/>
    </row>
    <row r="24" spans="1:12" ht="21.95" customHeight="1" x14ac:dyDescent="0.3">
      <c r="A24" s="4">
        <v>20</v>
      </c>
      <c r="B24" s="5" t="s">
        <v>55</v>
      </c>
      <c r="C24" s="5" t="s">
        <v>60</v>
      </c>
      <c r="D24" s="5" t="s">
        <v>61</v>
      </c>
      <c r="E24" s="6" t="s">
        <v>17</v>
      </c>
      <c r="F24" s="39">
        <v>46307</v>
      </c>
      <c r="G24" s="15">
        <f t="shared" si="0"/>
        <v>46246</v>
      </c>
      <c r="H24" s="15">
        <f t="shared" si="1"/>
        <v>46277</v>
      </c>
      <c r="I24" s="15">
        <f t="shared" si="2"/>
        <v>46300</v>
      </c>
      <c r="J24" s="15">
        <f t="shared" si="3"/>
        <v>46305</v>
      </c>
      <c r="K24" s="16" t="str">
        <f t="shared" ca="1" si="4"/>
        <v>🟢 В порядке</v>
      </c>
      <c r="L24" s="4"/>
    </row>
    <row r="25" spans="1:12" ht="21.95" customHeight="1" x14ac:dyDescent="0.3">
      <c r="A25" s="1">
        <v>21</v>
      </c>
      <c r="B25" s="2" t="s">
        <v>55</v>
      </c>
      <c r="C25" s="2" t="s">
        <v>62</v>
      </c>
      <c r="D25" s="2" t="s">
        <v>63</v>
      </c>
      <c r="E25" s="3" t="s">
        <v>17</v>
      </c>
      <c r="F25" s="39">
        <v>46308</v>
      </c>
      <c r="G25" s="13">
        <f t="shared" si="0"/>
        <v>46247</v>
      </c>
      <c r="H25" s="13">
        <f t="shared" si="1"/>
        <v>46278</v>
      </c>
      <c r="I25" s="13">
        <f t="shared" si="2"/>
        <v>46301</v>
      </c>
      <c r="J25" s="13">
        <f t="shared" si="3"/>
        <v>46306</v>
      </c>
      <c r="K25" s="14" t="str">
        <f t="shared" ca="1" si="4"/>
        <v>🟢 В порядке</v>
      </c>
      <c r="L25" s="1"/>
    </row>
    <row r="26" spans="1:12" ht="21.95" customHeight="1" x14ac:dyDescent="0.3">
      <c r="A26" s="4">
        <v>22</v>
      </c>
      <c r="B26" s="5" t="s">
        <v>64</v>
      </c>
      <c r="C26" s="5" t="s">
        <v>65</v>
      </c>
      <c r="D26" s="5" t="s">
        <v>66</v>
      </c>
      <c r="E26" s="6" t="s">
        <v>17</v>
      </c>
      <c r="F26" s="39">
        <v>46309</v>
      </c>
      <c r="G26" s="15">
        <f t="shared" si="0"/>
        <v>46248</v>
      </c>
      <c r="H26" s="15">
        <f t="shared" si="1"/>
        <v>46279</v>
      </c>
      <c r="I26" s="15">
        <f t="shared" si="2"/>
        <v>46302</v>
      </c>
      <c r="J26" s="15">
        <f t="shared" si="3"/>
        <v>46307</v>
      </c>
      <c r="K26" s="16" t="str">
        <f t="shared" ca="1" si="4"/>
        <v>🟢 В порядке</v>
      </c>
      <c r="L26" s="4"/>
    </row>
    <row r="27" spans="1:12" ht="21.95" customHeight="1" x14ac:dyDescent="0.3">
      <c r="A27" s="1">
        <v>23</v>
      </c>
      <c r="B27" s="2" t="s">
        <v>64</v>
      </c>
      <c r="C27" s="2" t="s">
        <v>67</v>
      </c>
      <c r="D27" s="2" t="s">
        <v>68</v>
      </c>
      <c r="E27" s="3" t="s">
        <v>17</v>
      </c>
      <c r="F27" s="39">
        <v>46310</v>
      </c>
      <c r="G27" s="13">
        <f t="shared" si="0"/>
        <v>46249</v>
      </c>
      <c r="H27" s="13">
        <f t="shared" si="1"/>
        <v>46280</v>
      </c>
      <c r="I27" s="13">
        <f t="shared" si="2"/>
        <v>46303</v>
      </c>
      <c r="J27" s="13">
        <f t="shared" si="3"/>
        <v>46308</v>
      </c>
      <c r="K27" s="14" t="str">
        <f t="shared" ca="1" si="4"/>
        <v>🟢 В порядке</v>
      </c>
      <c r="L27" s="1"/>
    </row>
    <row r="28" spans="1:12" ht="21.95" customHeight="1" x14ac:dyDescent="0.3">
      <c r="A28" s="4">
        <v>24</v>
      </c>
      <c r="B28" s="5" t="s">
        <v>69</v>
      </c>
      <c r="C28" s="5" t="s">
        <v>70</v>
      </c>
      <c r="D28" s="5" t="s">
        <v>71</v>
      </c>
      <c r="E28" s="6" t="s">
        <v>17</v>
      </c>
      <c r="F28" s="39">
        <v>46311</v>
      </c>
      <c r="G28" s="15">
        <f t="shared" si="0"/>
        <v>46250</v>
      </c>
      <c r="H28" s="15">
        <f t="shared" si="1"/>
        <v>46281</v>
      </c>
      <c r="I28" s="15">
        <f t="shared" si="2"/>
        <v>46304</v>
      </c>
      <c r="J28" s="15">
        <f t="shared" si="3"/>
        <v>46309</v>
      </c>
      <c r="K28" s="16" t="str">
        <f t="shared" ca="1" si="4"/>
        <v>🟢 В порядке</v>
      </c>
      <c r="L28" s="4"/>
    </row>
    <row r="29" spans="1:12" ht="21.95" customHeight="1" x14ac:dyDescent="0.3">
      <c r="A29" s="1">
        <v>25</v>
      </c>
      <c r="B29" s="2" t="s">
        <v>69</v>
      </c>
      <c r="C29" s="2" t="s">
        <v>72</v>
      </c>
      <c r="D29" s="2" t="s">
        <v>73</v>
      </c>
      <c r="E29" s="3" t="s">
        <v>17</v>
      </c>
      <c r="F29" s="39">
        <v>46312</v>
      </c>
      <c r="G29" s="13">
        <f t="shared" si="0"/>
        <v>46251</v>
      </c>
      <c r="H29" s="13">
        <f t="shared" si="1"/>
        <v>46282</v>
      </c>
      <c r="I29" s="13">
        <f t="shared" si="2"/>
        <v>46305</v>
      </c>
      <c r="J29" s="13">
        <f t="shared" si="3"/>
        <v>46310</v>
      </c>
      <c r="K29" s="14" t="str">
        <f t="shared" ca="1" si="4"/>
        <v>🟢 В порядке</v>
      </c>
      <c r="L29" s="1"/>
    </row>
    <row r="30" spans="1:12" ht="21.95" customHeight="1" x14ac:dyDescent="0.3">
      <c r="A30" s="4">
        <v>26</v>
      </c>
      <c r="B30" s="5" t="s">
        <v>74</v>
      </c>
      <c r="C30" s="5" t="s">
        <v>75</v>
      </c>
      <c r="D30" s="5" t="s">
        <v>76</v>
      </c>
      <c r="E30" s="6" t="s">
        <v>17</v>
      </c>
      <c r="F30" s="39">
        <v>46313</v>
      </c>
      <c r="G30" s="15">
        <f t="shared" si="0"/>
        <v>46252</v>
      </c>
      <c r="H30" s="15">
        <f t="shared" si="1"/>
        <v>46283</v>
      </c>
      <c r="I30" s="15">
        <f t="shared" si="2"/>
        <v>46306</v>
      </c>
      <c r="J30" s="15">
        <f t="shared" si="3"/>
        <v>46311</v>
      </c>
      <c r="K30" s="16" t="str">
        <f t="shared" ca="1" si="4"/>
        <v>🟢 В порядке</v>
      </c>
      <c r="L30" s="4"/>
    </row>
    <row r="31" spans="1:12" ht="21.95" customHeight="1" x14ac:dyDescent="0.3">
      <c r="A31" s="1">
        <v>27</v>
      </c>
      <c r="B31" s="2" t="s">
        <v>74</v>
      </c>
      <c r="C31" s="2" t="s">
        <v>77</v>
      </c>
      <c r="D31" s="2" t="s">
        <v>78</v>
      </c>
      <c r="E31" s="3" t="s">
        <v>17</v>
      </c>
      <c r="F31" s="39">
        <v>46314</v>
      </c>
      <c r="G31" s="13">
        <f t="shared" si="0"/>
        <v>46253</v>
      </c>
      <c r="H31" s="13">
        <f t="shared" si="1"/>
        <v>46284</v>
      </c>
      <c r="I31" s="13">
        <f t="shared" si="2"/>
        <v>46307</v>
      </c>
      <c r="J31" s="13">
        <f t="shared" si="3"/>
        <v>46312</v>
      </c>
      <c r="K31" s="14" t="str">
        <f t="shared" ca="1" si="4"/>
        <v>🟢 В порядке</v>
      </c>
      <c r="L31" s="1"/>
    </row>
    <row r="32" spans="1:12" ht="21.95" customHeight="1" x14ac:dyDescent="0.3">
      <c r="A32" s="4">
        <v>28</v>
      </c>
      <c r="B32" s="5" t="s">
        <v>79</v>
      </c>
      <c r="C32" s="5" t="s">
        <v>80</v>
      </c>
      <c r="D32" s="5" t="s">
        <v>81</v>
      </c>
      <c r="E32" s="6" t="s">
        <v>17</v>
      </c>
      <c r="F32" s="39">
        <v>46315</v>
      </c>
      <c r="G32" s="15">
        <f t="shared" si="0"/>
        <v>46254</v>
      </c>
      <c r="H32" s="15">
        <f t="shared" si="1"/>
        <v>46285</v>
      </c>
      <c r="I32" s="15">
        <f t="shared" si="2"/>
        <v>46308</v>
      </c>
      <c r="J32" s="15">
        <f t="shared" si="3"/>
        <v>46313</v>
      </c>
      <c r="K32" s="16" t="str">
        <f t="shared" ca="1" si="4"/>
        <v>🟢 В порядке</v>
      </c>
      <c r="L32" s="4"/>
    </row>
    <row r="33" spans="1:12" ht="21.95" customHeight="1" x14ac:dyDescent="0.3">
      <c r="A33" s="1">
        <v>29</v>
      </c>
      <c r="B33" s="2" t="s">
        <v>79</v>
      </c>
      <c r="C33" s="2" t="s">
        <v>82</v>
      </c>
      <c r="D33" s="2" t="s">
        <v>83</v>
      </c>
      <c r="E33" s="3" t="s">
        <v>17</v>
      </c>
      <c r="F33" s="39">
        <v>46316</v>
      </c>
      <c r="G33" s="13">
        <f t="shared" si="0"/>
        <v>46255</v>
      </c>
      <c r="H33" s="13">
        <f t="shared" si="1"/>
        <v>46286</v>
      </c>
      <c r="I33" s="13">
        <f t="shared" si="2"/>
        <v>46309</v>
      </c>
      <c r="J33" s="13">
        <f t="shared" si="3"/>
        <v>46314</v>
      </c>
      <c r="K33" s="14" t="str">
        <f t="shared" ca="1" si="4"/>
        <v>🟢 В порядке</v>
      </c>
      <c r="L33" s="1"/>
    </row>
    <row r="34" spans="1:12" ht="21.95" customHeight="1" x14ac:dyDescent="0.3">
      <c r="A34" s="4">
        <v>30</v>
      </c>
      <c r="B34" s="5" t="s">
        <v>84</v>
      </c>
      <c r="C34" s="5" t="s">
        <v>85</v>
      </c>
      <c r="D34" s="5" t="s">
        <v>86</v>
      </c>
      <c r="E34" s="6" t="s">
        <v>17</v>
      </c>
      <c r="F34" s="39">
        <v>46317</v>
      </c>
      <c r="G34" s="15">
        <f t="shared" si="0"/>
        <v>46256</v>
      </c>
      <c r="H34" s="15">
        <f t="shared" si="1"/>
        <v>46287</v>
      </c>
      <c r="I34" s="15">
        <f t="shared" si="2"/>
        <v>46310</v>
      </c>
      <c r="J34" s="15">
        <f t="shared" si="3"/>
        <v>46315</v>
      </c>
      <c r="K34" s="16" t="str">
        <f t="shared" ca="1" si="4"/>
        <v>🟢 В порядке</v>
      </c>
      <c r="L34" s="4"/>
    </row>
    <row r="35" spans="1:12" ht="21.95" customHeight="1" x14ac:dyDescent="0.3">
      <c r="A35" s="1">
        <v>31</v>
      </c>
      <c r="B35" s="2" t="s">
        <v>84</v>
      </c>
      <c r="C35" s="2" t="s">
        <v>87</v>
      </c>
      <c r="D35" s="2" t="s">
        <v>88</v>
      </c>
      <c r="E35" s="3" t="s">
        <v>17</v>
      </c>
      <c r="F35" s="39">
        <v>46318</v>
      </c>
      <c r="G35" s="13">
        <f t="shared" si="0"/>
        <v>46257</v>
      </c>
      <c r="H35" s="13">
        <f t="shared" si="1"/>
        <v>46288</v>
      </c>
      <c r="I35" s="13">
        <f t="shared" si="2"/>
        <v>46311</v>
      </c>
      <c r="J35" s="13">
        <f t="shared" si="3"/>
        <v>46316</v>
      </c>
      <c r="K35" s="14" t="str">
        <f t="shared" ca="1" si="4"/>
        <v>🟢 В порядке</v>
      </c>
      <c r="L35" s="1"/>
    </row>
    <row r="36" spans="1:12" ht="21.95" customHeight="1" x14ac:dyDescent="0.3">
      <c r="A36" s="4">
        <v>32</v>
      </c>
      <c r="B36" s="5" t="s">
        <v>89</v>
      </c>
      <c r="C36" s="5" t="s">
        <v>90</v>
      </c>
      <c r="D36" s="5" t="s">
        <v>91</v>
      </c>
      <c r="E36" s="6" t="s">
        <v>17</v>
      </c>
      <c r="F36" s="39">
        <v>46319</v>
      </c>
      <c r="G36" s="15">
        <f t="shared" si="0"/>
        <v>46258</v>
      </c>
      <c r="H36" s="15">
        <f t="shared" si="1"/>
        <v>46289</v>
      </c>
      <c r="I36" s="15">
        <f t="shared" si="2"/>
        <v>46312</v>
      </c>
      <c r="J36" s="15">
        <f t="shared" si="3"/>
        <v>46317</v>
      </c>
      <c r="K36" s="16" t="str">
        <f t="shared" ca="1" si="4"/>
        <v>🟢 В порядке</v>
      </c>
      <c r="L36" s="4"/>
    </row>
    <row r="37" spans="1:12" ht="21.95" customHeight="1" x14ac:dyDescent="0.3">
      <c r="A37" s="1">
        <v>33</v>
      </c>
      <c r="B37" s="2" t="s">
        <v>89</v>
      </c>
      <c r="C37" s="2" t="s">
        <v>92</v>
      </c>
      <c r="D37" s="2" t="s">
        <v>93</v>
      </c>
      <c r="E37" s="3" t="s">
        <v>17</v>
      </c>
      <c r="F37" s="39">
        <v>46320</v>
      </c>
      <c r="G37" s="13">
        <f t="shared" ref="G37:G68" si="5">IF(F37="","",DATE(YEAR(F37),MONTH(F37)-2,DAY(F37)))</f>
        <v>46259</v>
      </c>
      <c r="H37" s="13">
        <f t="shared" ref="H37:H68" si="6">IF(F37="","",DATE(YEAR(F37),MONTH(F37)-1,DAY(F37)))</f>
        <v>46290</v>
      </c>
      <c r="I37" s="13">
        <f t="shared" ref="I37:I68" si="7">IF(F37="","",F37-7)</f>
        <v>46313</v>
      </c>
      <c r="J37" s="13">
        <f t="shared" ref="J37:J68" si="8">IF(F37="","",F37-2)</f>
        <v>46318</v>
      </c>
      <c r="K37" s="14" t="str">
        <f t="shared" ref="K37:K68" ca="1" si="9">IF(F37="","❓ Не указана",IF(F37&lt;TODAY(),"🔴 Просрочена",IF(J37&lt;=TODAY(),"🔴 Просрочена скоро",IF(I37&lt;=TODAY(),"🟡 Скоро (-7 дн.)",IF(H37&lt;=TODAY(),"🟡 Скоро (-1 мес.)",IF(G37&lt;=TODAY(),"🟡 Скоро (-2 мес.)","🟢 В порядке"))))))</f>
        <v>🟢 В порядке</v>
      </c>
      <c r="L37" s="1"/>
    </row>
    <row r="38" spans="1:12" ht="21.95" customHeight="1" x14ac:dyDescent="0.3">
      <c r="A38" s="4">
        <v>34</v>
      </c>
      <c r="B38" s="5" t="s">
        <v>94</v>
      </c>
      <c r="C38" s="5" t="s">
        <v>95</v>
      </c>
      <c r="D38" s="5" t="s">
        <v>96</v>
      </c>
      <c r="E38" s="6" t="s">
        <v>17</v>
      </c>
      <c r="F38" s="39">
        <v>46321</v>
      </c>
      <c r="G38" s="15">
        <f t="shared" si="5"/>
        <v>46260</v>
      </c>
      <c r="H38" s="15">
        <f t="shared" si="6"/>
        <v>46291</v>
      </c>
      <c r="I38" s="15">
        <f t="shared" si="7"/>
        <v>46314</v>
      </c>
      <c r="J38" s="15">
        <f t="shared" si="8"/>
        <v>46319</v>
      </c>
      <c r="K38" s="16" t="str">
        <f t="shared" ca="1" si="9"/>
        <v>🟢 В порядке</v>
      </c>
      <c r="L38" s="4"/>
    </row>
    <row r="39" spans="1:12" ht="21.95" customHeight="1" x14ac:dyDescent="0.3">
      <c r="A39" s="1">
        <v>35</v>
      </c>
      <c r="B39" s="2" t="s">
        <v>94</v>
      </c>
      <c r="C39" s="2" t="s">
        <v>97</v>
      </c>
      <c r="D39" s="2" t="s">
        <v>98</v>
      </c>
      <c r="E39" s="3" t="s">
        <v>17</v>
      </c>
      <c r="F39" s="39">
        <v>46322</v>
      </c>
      <c r="G39" s="13">
        <f t="shared" si="5"/>
        <v>46261</v>
      </c>
      <c r="H39" s="13">
        <f t="shared" si="6"/>
        <v>46292</v>
      </c>
      <c r="I39" s="13">
        <f t="shared" si="7"/>
        <v>46315</v>
      </c>
      <c r="J39" s="13">
        <f t="shared" si="8"/>
        <v>46320</v>
      </c>
      <c r="K39" s="14" t="str">
        <f t="shared" ca="1" si="9"/>
        <v>🟢 В порядке</v>
      </c>
      <c r="L39" s="1"/>
    </row>
    <row r="40" spans="1:12" ht="21.95" customHeight="1" x14ac:dyDescent="0.3">
      <c r="A40" s="4">
        <v>36</v>
      </c>
      <c r="B40" s="5" t="s">
        <v>99</v>
      </c>
      <c r="C40" s="5" t="s">
        <v>100</v>
      </c>
      <c r="D40" s="5" t="s">
        <v>101</v>
      </c>
      <c r="E40" s="6" t="s">
        <v>17</v>
      </c>
      <c r="F40" s="39">
        <v>46323</v>
      </c>
      <c r="G40" s="15">
        <f t="shared" si="5"/>
        <v>46262</v>
      </c>
      <c r="H40" s="15">
        <f t="shared" si="6"/>
        <v>46293</v>
      </c>
      <c r="I40" s="15">
        <f t="shared" si="7"/>
        <v>46316</v>
      </c>
      <c r="J40" s="15">
        <f t="shared" si="8"/>
        <v>46321</v>
      </c>
      <c r="K40" s="16" t="str">
        <f t="shared" ca="1" si="9"/>
        <v>🟢 В порядке</v>
      </c>
      <c r="L40" s="4"/>
    </row>
    <row r="41" spans="1:12" ht="21.95" customHeight="1" x14ac:dyDescent="0.3">
      <c r="A41" s="1">
        <v>37</v>
      </c>
      <c r="B41" s="2" t="s">
        <v>99</v>
      </c>
      <c r="C41" s="2" t="s">
        <v>102</v>
      </c>
      <c r="D41" s="2" t="s">
        <v>103</v>
      </c>
      <c r="E41" s="3" t="s">
        <v>17</v>
      </c>
      <c r="F41" s="39">
        <v>46324</v>
      </c>
      <c r="G41" s="13">
        <f t="shared" si="5"/>
        <v>46263</v>
      </c>
      <c r="H41" s="13">
        <f t="shared" si="6"/>
        <v>46294</v>
      </c>
      <c r="I41" s="13">
        <f t="shared" si="7"/>
        <v>46317</v>
      </c>
      <c r="J41" s="13">
        <f t="shared" si="8"/>
        <v>46322</v>
      </c>
      <c r="K41" s="14" t="str">
        <f t="shared" ca="1" si="9"/>
        <v>🟢 В порядке</v>
      </c>
      <c r="L41" s="1"/>
    </row>
    <row r="42" spans="1:12" ht="21.95" customHeight="1" x14ac:dyDescent="0.3">
      <c r="A42" s="4">
        <v>38</v>
      </c>
      <c r="B42" s="5" t="s">
        <v>99</v>
      </c>
      <c r="C42" s="5" t="s">
        <v>104</v>
      </c>
      <c r="D42" s="5" t="s">
        <v>105</v>
      </c>
      <c r="E42" s="6" t="s">
        <v>17</v>
      </c>
      <c r="F42" s="39">
        <v>46325</v>
      </c>
      <c r="G42" s="15">
        <f t="shared" si="5"/>
        <v>46264</v>
      </c>
      <c r="H42" s="15">
        <f t="shared" si="6"/>
        <v>46295</v>
      </c>
      <c r="I42" s="15">
        <f t="shared" si="7"/>
        <v>46318</v>
      </c>
      <c r="J42" s="15">
        <f t="shared" si="8"/>
        <v>46323</v>
      </c>
      <c r="K42" s="16" t="str">
        <f t="shared" ca="1" si="9"/>
        <v>🟢 В порядке</v>
      </c>
      <c r="L42" s="4"/>
    </row>
    <row r="43" spans="1:12" ht="21.95" customHeight="1" x14ac:dyDescent="0.3">
      <c r="A43" s="1">
        <v>39</v>
      </c>
      <c r="B43" s="2" t="s">
        <v>106</v>
      </c>
      <c r="C43" s="2" t="s">
        <v>107</v>
      </c>
      <c r="D43" s="2" t="s">
        <v>108</v>
      </c>
      <c r="E43" s="3" t="s">
        <v>17</v>
      </c>
      <c r="F43" s="39">
        <v>46326</v>
      </c>
      <c r="G43" s="13">
        <f t="shared" si="5"/>
        <v>46265</v>
      </c>
      <c r="H43" s="13">
        <f t="shared" si="6"/>
        <v>46296</v>
      </c>
      <c r="I43" s="13">
        <f t="shared" si="7"/>
        <v>46319</v>
      </c>
      <c r="J43" s="13">
        <f t="shared" si="8"/>
        <v>46324</v>
      </c>
      <c r="K43" s="14" t="str">
        <f t="shared" ca="1" si="9"/>
        <v>🟢 В порядке</v>
      </c>
      <c r="L43" s="1"/>
    </row>
    <row r="44" spans="1:12" ht="21.95" customHeight="1" x14ac:dyDescent="0.3">
      <c r="A44" s="4">
        <v>40</v>
      </c>
      <c r="B44" s="5" t="s">
        <v>106</v>
      </c>
      <c r="C44" s="5" t="s">
        <v>109</v>
      </c>
      <c r="D44" s="5" t="s">
        <v>110</v>
      </c>
      <c r="E44" s="6" t="s">
        <v>17</v>
      </c>
      <c r="F44" s="39">
        <v>46327</v>
      </c>
      <c r="G44" s="15">
        <f t="shared" si="5"/>
        <v>46266</v>
      </c>
      <c r="H44" s="15">
        <f t="shared" si="6"/>
        <v>46296</v>
      </c>
      <c r="I44" s="15">
        <f t="shared" si="7"/>
        <v>46320</v>
      </c>
      <c r="J44" s="15">
        <f t="shared" si="8"/>
        <v>46325</v>
      </c>
      <c r="K44" s="16" t="str">
        <f t="shared" ca="1" si="9"/>
        <v>🟢 В порядке</v>
      </c>
      <c r="L44" s="4"/>
    </row>
    <row r="45" spans="1:12" ht="21.95" customHeight="1" x14ac:dyDescent="0.3">
      <c r="A45" s="1">
        <v>41</v>
      </c>
      <c r="B45" s="2" t="s">
        <v>106</v>
      </c>
      <c r="C45" s="2" t="s">
        <v>111</v>
      </c>
      <c r="D45" s="2" t="s">
        <v>112</v>
      </c>
      <c r="E45" s="3" t="s">
        <v>17</v>
      </c>
      <c r="F45" s="39">
        <v>46328</v>
      </c>
      <c r="G45" s="13">
        <f t="shared" si="5"/>
        <v>46267</v>
      </c>
      <c r="H45" s="13">
        <f t="shared" si="6"/>
        <v>46297</v>
      </c>
      <c r="I45" s="13">
        <f t="shared" si="7"/>
        <v>46321</v>
      </c>
      <c r="J45" s="13">
        <f t="shared" si="8"/>
        <v>46326</v>
      </c>
      <c r="K45" s="14" t="str">
        <f t="shared" ca="1" si="9"/>
        <v>🟢 В порядке</v>
      </c>
      <c r="L45" s="1"/>
    </row>
    <row r="46" spans="1:12" ht="21.95" customHeight="1" x14ac:dyDescent="0.3">
      <c r="A46" s="4">
        <v>42</v>
      </c>
      <c r="B46" s="5" t="s">
        <v>113</v>
      </c>
      <c r="C46" s="5" t="s">
        <v>114</v>
      </c>
      <c r="D46" s="5" t="s">
        <v>115</v>
      </c>
      <c r="E46" s="6" t="s">
        <v>17</v>
      </c>
      <c r="F46" s="39">
        <v>46329</v>
      </c>
      <c r="G46" s="15">
        <f t="shared" si="5"/>
        <v>46268</v>
      </c>
      <c r="H46" s="15">
        <f t="shared" si="6"/>
        <v>46298</v>
      </c>
      <c r="I46" s="15">
        <f t="shared" si="7"/>
        <v>46322</v>
      </c>
      <c r="J46" s="15">
        <f t="shared" si="8"/>
        <v>46327</v>
      </c>
      <c r="K46" s="16" t="str">
        <f t="shared" ca="1" si="9"/>
        <v>🟢 В порядке</v>
      </c>
      <c r="L46" s="4"/>
    </row>
    <row r="47" spans="1:12" ht="21.95" customHeight="1" x14ac:dyDescent="0.3">
      <c r="A47" s="1">
        <v>43</v>
      </c>
      <c r="B47" s="2" t="s">
        <v>113</v>
      </c>
      <c r="C47" s="2" t="s">
        <v>116</v>
      </c>
      <c r="D47" s="2" t="s">
        <v>117</v>
      </c>
      <c r="E47" s="3" t="s">
        <v>17</v>
      </c>
      <c r="F47" s="39">
        <v>46330</v>
      </c>
      <c r="G47" s="13">
        <f t="shared" si="5"/>
        <v>46269</v>
      </c>
      <c r="H47" s="13">
        <f t="shared" si="6"/>
        <v>46299</v>
      </c>
      <c r="I47" s="13">
        <f t="shared" si="7"/>
        <v>46323</v>
      </c>
      <c r="J47" s="13">
        <f t="shared" si="8"/>
        <v>46328</v>
      </c>
      <c r="K47" s="14" t="str">
        <f t="shared" ca="1" si="9"/>
        <v>🟢 В порядке</v>
      </c>
      <c r="L47" s="1"/>
    </row>
    <row r="48" spans="1:12" ht="21.95" customHeight="1" x14ac:dyDescent="0.3">
      <c r="A48" s="4">
        <v>44</v>
      </c>
      <c r="B48" s="5" t="s">
        <v>118</v>
      </c>
      <c r="C48" s="5" t="s">
        <v>119</v>
      </c>
      <c r="D48" s="5" t="s">
        <v>120</v>
      </c>
      <c r="E48" s="6" t="s">
        <v>17</v>
      </c>
      <c r="F48" s="39">
        <v>46331</v>
      </c>
      <c r="G48" s="15">
        <f t="shared" si="5"/>
        <v>46270</v>
      </c>
      <c r="H48" s="15">
        <f t="shared" si="6"/>
        <v>46300</v>
      </c>
      <c r="I48" s="15">
        <f t="shared" si="7"/>
        <v>46324</v>
      </c>
      <c r="J48" s="15">
        <f t="shared" si="8"/>
        <v>46329</v>
      </c>
      <c r="K48" s="16" t="str">
        <f t="shared" ca="1" si="9"/>
        <v>🟢 В порядке</v>
      </c>
      <c r="L48" s="4"/>
    </row>
    <row r="49" spans="1:12" ht="21.95" customHeight="1" x14ac:dyDescent="0.3">
      <c r="A49" s="1">
        <v>45</v>
      </c>
      <c r="B49" s="2" t="s">
        <v>118</v>
      </c>
      <c r="C49" s="2" t="s">
        <v>121</v>
      </c>
      <c r="D49" s="2" t="s">
        <v>122</v>
      </c>
      <c r="E49" s="3" t="s">
        <v>17</v>
      </c>
      <c r="F49" s="39">
        <v>46332</v>
      </c>
      <c r="G49" s="13">
        <f t="shared" si="5"/>
        <v>46271</v>
      </c>
      <c r="H49" s="13">
        <f t="shared" si="6"/>
        <v>46301</v>
      </c>
      <c r="I49" s="13">
        <f t="shared" si="7"/>
        <v>46325</v>
      </c>
      <c r="J49" s="13">
        <f t="shared" si="8"/>
        <v>46330</v>
      </c>
      <c r="K49" s="14" t="str">
        <f t="shared" ca="1" si="9"/>
        <v>🟢 В порядке</v>
      </c>
      <c r="L49" s="1"/>
    </row>
    <row r="50" spans="1:12" ht="21.95" customHeight="1" x14ac:dyDescent="0.3">
      <c r="A50" s="4">
        <v>46</v>
      </c>
      <c r="B50" s="5" t="s">
        <v>123</v>
      </c>
      <c r="C50" s="5" t="s">
        <v>124</v>
      </c>
      <c r="D50" s="5" t="s">
        <v>125</v>
      </c>
      <c r="E50" s="6" t="s">
        <v>17</v>
      </c>
      <c r="F50" s="39">
        <v>46333</v>
      </c>
      <c r="G50" s="15">
        <f t="shared" si="5"/>
        <v>46272</v>
      </c>
      <c r="H50" s="15">
        <f t="shared" si="6"/>
        <v>46302</v>
      </c>
      <c r="I50" s="15">
        <f t="shared" si="7"/>
        <v>46326</v>
      </c>
      <c r="J50" s="15">
        <f t="shared" si="8"/>
        <v>46331</v>
      </c>
      <c r="K50" s="16" t="str">
        <f t="shared" ca="1" si="9"/>
        <v>🟢 В порядке</v>
      </c>
      <c r="L50" s="4"/>
    </row>
    <row r="51" spans="1:12" ht="21.95" customHeight="1" x14ac:dyDescent="0.3">
      <c r="A51" s="1">
        <v>47</v>
      </c>
      <c r="B51" s="2" t="s">
        <v>123</v>
      </c>
      <c r="C51" s="2" t="s">
        <v>126</v>
      </c>
      <c r="D51" s="2" t="s">
        <v>127</v>
      </c>
      <c r="E51" s="3" t="s">
        <v>17</v>
      </c>
      <c r="F51" s="39">
        <v>46334</v>
      </c>
      <c r="G51" s="13">
        <f t="shared" si="5"/>
        <v>46273</v>
      </c>
      <c r="H51" s="13">
        <f t="shared" si="6"/>
        <v>46303</v>
      </c>
      <c r="I51" s="13">
        <f t="shared" si="7"/>
        <v>46327</v>
      </c>
      <c r="J51" s="13">
        <f t="shared" si="8"/>
        <v>46332</v>
      </c>
      <c r="K51" s="14" t="str">
        <f t="shared" ca="1" si="9"/>
        <v>🟢 В порядке</v>
      </c>
      <c r="L51" s="1"/>
    </row>
    <row r="52" spans="1:12" ht="21.95" customHeight="1" x14ac:dyDescent="0.3">
      <c r="A52" s="4">
        <v>48</v>
      </c>
      <c r="B52" s="5" t="s">
        <v>128</v>
      </c>
      <c r="C52" s="5" t="s">
        <v>129</v>
      </c>
      <c r="D52" s="5" t="s">
        <v>130</v>
      </c>
      <c r="E52" s="6" t="s">
        <v>17</v>
      </c>
      <c r="F52" s="39">
        <v>46335</v>
      </c>
      <c r="G52" s="15">
        <f t="shared" si="5"/>
        <v>46274</v>
      </c>
      <c r="H52" s="15">
        <f t="shared" si="6"/>
        <v>46304</v>
      </c>
      <c r="I52" s="15">
        <f t="shared" si="7"/>
        <v>46328</v>
      </c>
      <c r="J52" s="15">
        <f t="shared" si="8"/>
        <v>46333</v>
      </c>
      <c r="K52" s="16" t="str">
        <f t="shared" ca="1" si="9"/>
        <v>🟢 В порядке</v>
      </c>
      <c r="L52" s="4"/>
    </row>
    <row r="53" spans="1:12" ht="21.95" customHeight="1" x14ac:dyDescent="0.3">
      <c r="A53" s="1">
        <v>49</v>
      </c>
      <c r="B53" s="2" t="s">
        <v>128</v>
      </c>
      <c r="C53" s="2" t="s">
        <v>131</v>
      </c>
      <c r="D53" s="2" t="s">
        <v>132</v>
      </c>
      <c r="E53" s="3" t="s">
        <v>17</v>
      </c>
      <c r="F53" s="39">
        <v>46336</v>
      </c>
      <c r="G53" s="13">
        <f t="shared" si="5"/>
        <v>46275</v>
      </c>
      <c r="H53" s="13">
        <f t="shared" si="6"/>
        <v>46305</v>
      </c>
      <c r="I53" s="13">
        <f t="shared" si="7"/>
        <v>46329</v>
      </c>
      <c r="J53" s="13">
        <f t="shared" si="8"/>
        <v>46334</v>
      </c>
      <c r="K53" s="14" t="str">
        <f t="shared" ca="1" si="9"/>
        <v>🟢 В порядке</v>
      </c>
      <c r="L53" s="1"/>
    </row>
    <row r="54" spans="1:12" ht="21.95" customHeight="1" x14ac:dyDescent="0.3">
      <c r="A54" s="4">
        <v>50</v>
      </c>
      <c r="B54" s="5" t="s">
        <v>133</v>
      </c>
      <c r="C54" s="5" t="s">
        <v>134</v>
      </c>
      <c r="D54" s="5" t="s">
        <v>135</v>
      </c>
      <c r="E54" s="6" t="s">
        <v>17</v>
      </c>
      <c r="F54" s="39">
        <v>46337</v>
      </c>
      <c r="G54" s="15">
        <f t="shared" si="5"/>
        <v>46276</v>
      </c>
      <c r="H54" s="15">
        <f t="shared" si="6"/>
        <v>46306</v>
      </c>
      <c r="I54" s="15">
        <f t="shared" si="7"/>
        <v>46330</v>
      </c>
      <c r="J54" s="15">
        <f t="shared" si="8"/>
        <v>46335</v>
      </c>
      <c r="K54" s="16" t="str">
        <f t="shared" ca="1" si="9"/>
        <v>🟢 В порядке</v>
      </c>
      <c r="L54" s="4"/>
    </row>
    <row r="55" spans="1:12" ht="21.95" customHeight="1" x14ac:dyDescent="0.3">
      <c r="A55" s="1">
        <v>51</v>
      </c>
      <c r="B55" s="2" t="s">
        <v>133</v>
      </c>
      <c r="C55" s="2" t="s">
        <v>136</v>
      </c>
      <c r="D55" s="2" t="s">
        <v>137</v>
      </c>
      <c r="E55" s="3" t="s">
        <v>17</v>
      </c>
      <c r="F55" s="39">
        <v>46338</v>
      </c>
      <c r="G55" s="13">
        <f t="shared" si="5"/>
        <v>46277</v>
      </c>
      <c r="H55" s="13">
        <f t="shared" si="6"/>
        <v>46307</v>
      </c>
      <c r="I55" s="13">
        <f t="shared" si="7"/>
        <v>46331</v>
      </c>
      <c r="J55" s="13">
        <f t="shared" si="8"/>
        <v>46336</v>
      </c>
      <c r="K55" s="14" t="str">
        <f t="shared" ca="1" si="9"/>
        <v>🟢 В порядке</v>
      </c>
      <c r="L55" s="1"/>
    </row>
    <row r="56" spans="1:12" ht="21.95" customHeight="1" x14ac:dyDescent="0.3">
      <c r="A56" s="4">
        <v>52</v>
      </c>
      <c r="B56" s="5" t="s">
        <v>138</v>
      </c>
      <c r="C56" s="5" t="s">
        <v>139</v>
      </c>
      <c r="D56" s="5" t="s">
        <v>140</v>
      </c>
      <c r="E56" s="6" t="s">
        <v>17</v>
      </c>
      <c r="F56" s="39">
        <v>46339</v>
      </c>
      <c r="G56" s="15">
        <f t="shared" si="5"/>
        <v>46278</v>
      </c>
      <c r="H56" s="15">
        <f t="shared" si="6"/>
        <v>46308</v>
      </c>
      <c r="I56" s="15">
        <f t="shared" si="7"/>
        <v>46332</v>
      </c>
      <c r="J56" s="15">
        <f t="shared" si="8"/>
        <v>46337</v>
      </c>
      <c r="K56" s="16" t="str">
        <f t="shared" ca="1" si="9"/>
        <v>🟢 В порядке</v>
      </c>
      <c r="L56" s="4"/>
    </row>
    <row r="57" spans="1:12" ht="21.95" customHeight="1" x14ac:dyDescent="0.3">
      <c r="A57" s="1">
        <v>53</v>
      </c>
      <c r="B57" s="2" t="s">
        <v>138</v>
      </c>
      <c r="C57" s="2" t="s">
        <v>141</v>
      </c>
      <c r="D57" s="2" t="s">
        <v>142</v>
      </c>
      <c r="E57" s="3" t="s">
        <v>17</v>
      </c>
      <c r="F57" s="39">
        <v>46340</v>
      </c>
      <c r="G57" s="13">
        <f t="shared" si="5"/>
        <v>46279</v>
      </c>
      <c r="H57" s="13">
        <f t="shared" si="6"/>
        <v>46309</v>
      </c>
      <c r="I57" s="13">
        <f t="shared" si="7"/>
        <v>46333</v>
      </c>
      <c r="J57" s="13">
        <f t="shared" si="8"/>
        <v>46338</v>
      </c>
      <c r="K57" s="14" t="str">
        <f t="shared" ca="1" si="9"/>
        <v>🟢 В порядке</v>
      </c>
      <c r="L57" s="1"/>
    </row>
    <row r="58" spans="1:12" ht="21.95" customHeight="1" x14ac:dyDescent="0.3">
      <c r="A58" s="4">
        <v>54</v>
      </c>
      <c r="B58" s="5" t="s">
        <v>143</v>
      </c>
      <c r="C58" s="5" t="s">
        <v>144</v>
      </c>
      <c r="D58" s="5" t="s">
        <v>145</v>
      </c>
      <c r="E58" s="6" t="s">
        <v>17</v>
      </c>
      <c r="F58" s="39">
        <v>46341</v>
      </c>
      <c r="G58" s="15">
        <f t="shared" si="5"/>
        <v>46280</v>
      </c>
      <c r="H58" s="15">
        <f t="shared" si="6"/>
        <v>46310</v>
      </c>
      <c r="I58" s="15">
        <f t="shared" si="7"/>
        <v>46334</v>
      </c>
      <c r="J58" s="15">
        <f t="shared" si="8"/>
        <v>46339</v>
      </c>
      <c r="K58" s="16" t="str">
        <f t="shared" ca="1" si="9"/>
        <v>🟢 В порядке</v>
      </c>
      <c r="L58" s="4"/>
    </row>
    <row r="59" spans="1:12" ht="21.95" customHeight="1" x14ac:dyDescent="0.3">
      <c r="A59" s="1">
        <v>55</v>
      </c>
      <c r="B59" s="2" t="s">
        <v>143</v>
      </c>
      <c r="C59" s="2" t="s">
        <v>146</v>
      </c>
      <c r="D59" s="2" t="s">
        <v>147</v>
      </c>
      <c r="E59" s="3" t="s">
        <v>17</v>
      </c>
      <c r="F59" s="39">
        <v>46342</v>
      </c>
      <c r="G59" s="13">
        <f t="shared" si="5"/>
        <v>46281</v>
      </c>
      <c r="H59" s="13">
        <f t="shared" si="6"/>
        <v>46311</v>
      </c>
      <c r="I59" s="13">
        <f t="shared" si="7"/>
        <v>46335</v>
      </c>
      <c r="J59" s="13">
        <f t="shared" si="8"/>
        <v>46340</v>
      </c>
      <c r="K59" s="14" t="str">
        <f t="shared" ca="1" si="9"/>
        <v>🟢 В порядке</v>
      </c>
      <c r="L59" s="1"/>
    </row>
    <row r="60" spans="1:12" ht="21.95" customHeight="1" x14ac:dyDescent="0.3">
      <c r="A60" s="4">
        <v>56</v>
      </c>
      <c r="B60" s="5" t="s">
        <v>148</v>
      </c>
      <c r="C60" s="5" t="s">
        <v>149</v>
      </c>
      <c r="D60" s="5" t="s">
        <v>150</v>
      </c>
      <c r="E60" s="6" t="s">
        <v>17</v>
      </c>
      <c r="F60" s="39">
        <v>46343</v>
      </c>
      <c r="G60" s="15">
        <f t="shared" si="5"/>
        <v>46282</v>
      </c>
      <c r="H60" s="15">
        <f t="shared" si="6"/>
        <v>46312</v>
      </c>
      <c r="I60" s="15">
        <f t="shared" si="7"/>
        <v>46336</v>
      </c>
      <c r="J60" s="15">
        <f t="shared" si="8"/>
        <v>46341</v>
      </c>
      <c r="K60" s="16" t="str">
        <f t="shared" ca="1" si="9"/>
        <v>🟢 В порядке</v>
      </c>
      <c r="L60" s="4"/>
    </row>
    <row r="61" spans="1:12" ht="21.95" customHeight="1" x14ac:dyDescent="0.3">
      <c r="A61" s="1">
        <v>57</v>
      </c>
      <c r="B61" s="2" t="s">
        <v>151</v>
      </c>
      <c r="C61" s="2" t="s">
        <v>152</v>
      </c>
      <c r="D61" s="2" t="s">
        <v>153</v>
      </c>
      <c r="E61" s="3" t="s">
        <v>17</v>
      </c>
      <c r="F61" s="39">
        <v>46344</v>
      </c>
      <c r="G61" s="13">
        <f t="shared" si="5"/>
        <v>46283</v>
      </c>
      <c r="H61" s="13">
        <f t="shared" si="6"/>
        <v>46313</v>
      </c>
      <c r="I61" s="13">
        <f t="shared" si="7"/>
        <v>46337</v>
      </c>
      <c r="J61" s="13">
        <f t="shared" si="8"/>
        <v>46342</v>
      </c>
      <c r="K61" s="14" t="str">
        <f t="shared" ca="1" si="9"/>
        <v>🟢 В порядке</v>
      </c>
      <c r="L61" s="1"/>
    </row>
    <row r="62" spans="1:12" ht="21.95" customHeight="1" x14ac:dyDescent="0.3">
      <c r="A62" s="4">
        <v>58</v>
      </c>
      <c r="B62" s="5" t="s">
        <v>151</v>
      </c>
      <c r="C62" s="5" t="s">
        <v>154</v>
      </c>
      <c r="D62" s="5" t="s">
        <v>155</v>
      </c>
      <c r="E62" s="6" t="s">
        <v>17</v>
      </c>
      <c r="F62" s="39">
        <v>46345</v>
      </c>
      <c r="G62" s="15">
        <f t="shared" si="5"/>
        <v>46284</v>
      </c>
      <c r="H62" s="15">
        <f t="shared" si="6"/>
        <v>46314</v>
      </c>
      <c r="I62" s="15">
        <f t="shared" si="7"/>
        <v>46338</v>
      </c>
      <c r="J62" s="15">
        <f t="shared" si="8"/>
        <v>46343</v>
      </c>
      <c r="K62" s="16" t="str">
        <f t="shared" ca="1" si="9"/>
        <v>🟢 В порядке</v>
      </c>
      <c r="L62" s="4"/>
    </row>
    <row r="63" spans="1:12" ht="21.95" customHeight="1" x14ac:dyDescent="0.3">
      <c r="A63" s="1">
        <v>59</v>
      </c>
      <c r="B63" s="2" t="s">
        <v>156</v>
      </c>
      <c r="C63" s="2" t="s">
        <v>157</v>
      </c>
      <c r="D63" s="2" t="s">
        <v>158</v>
      </c>
      <c r="E63" s="3" t="s">
        <v>17</v>
      </c>
      <c r="F63" s="39">
        <v>46346</v>
      </c>
      <c r="G63" s="13">
        <f t="shared" si="5"/>
        <v>46285</v>
      </c>
      <c r="H63" s="13">
        <f t="shared" si="6"/>
        <v>46315</v>
      </c>
      <c r="I63" s="13">
        <f t="shared" si="7"/>
        <v>46339</v>
      </c>
      <c r="J63" s="13">
        <f t="shared" si="8"/>
        <v>46344</v>
      </c>
      <c r="K63" s="14" t="str">
        <f t="shared" ca="1" si="9"/>
        <v>🟢 В порядке</v>
      </c>
      <c r="L63" s="1"/>
    </row>
    <row r="64" spans="1:12" ht="21.95" customHeight="1" x14ac:dyDescent="0.3">
      <c r="A64" s="4">
        <v>60</v>
      </c>
      <c r="B64" s="5" t="s">
        <v>156</v>
      </c>
      <c r="C64" s="5" t="s">
        <v>159</v>
      </c>
      <c r="D64" s="5" t="s">
        <v>160</v>
      </c>
      <c r="E64" s="6" t="s">
        <v>17</v>
      </c>
      <c r="F64" s="39">
        <v>46347</v>
      </c>
      <c r="G64" s="15">
        <f t="shared" si="5"/>
        <v>46286</v>
      </c>
      <c r="H64" s="15">
        <f t="shared" si="6"/>
        <v>46316</v>
      </c>
      <c r="I64" s="15">
        <f t="shared" si="7"/>
        <v>46340</v>
      </c>
      <c r="J64" s="15">
        <f t="shared" si="8"/>
        <v>46345</v>
      </c>
      <c r="K64" s="16" t="str">
        <f t="shared" ca="1" si="9"/>
        <v>🟢 В порядке</v>
      </c>
      <c r="L64" s="4"/>
    </row>
    <row r="65" spans="1:12" ht="21.95" customHeight="1" x14ac:dyDescent="0.3">
      <c r="A65" s="1">
        <v>61</v>
      </c>
      <c r="B65" s="2" t="s">
        <v>156</v>
      </c>
      <c r="C65" s="2" t="s">
        <v>161</v>
      </c>
      <c r="D65" s="2" t="s">
        <v>162</v>
      </c>
      <c r="E65" s="3" t="s">
        <v>17</v>
      </c>
      <c r="F65" s="39">
        <v>46348</v>
      </c>
      <c r="G65" s="13">
        <f t="shared" si="5"/>
        <v>46287</v>
      </c>
      <c r="H65" s="13">
        <f t="shared" si="6"/>
        <v>46317</v>
      </c>
      <c r="I65" s="13">
        <f t="shared" si="7"/>
        <v>46341</v>
      </c>
      <c r="J65" s="13">
        <f t="shared" si="8"/>
        <v>46346</v>
      </c>
      <c r="K65" s="14" t="str">
        <f t="shared" ca="1" si="9"/>
        <v>🟢 В порядке</v>
      </c>
      <c r="L65" s="1"/>
    </row>
    <row r="66" spans="1:12" ht="21.95" customHeight="1" x14ac:dyDescent="0.3">
      <c r="A66" s="4">
        <v>62</v>
      </c>
      <c r="B66" s="5" t="s">
        <v>163</v>
      </c>
      <c r="C66" s="5" t="s">
        <v>164</v>
      </c>
      <c r="D66" s="5" t="s">
        <v>165</v>
      </c>
      <c r="E66" s="6" t="s">
        <v>17</v>
      </c>
      <c r="F66" s="39">
        <v>46349</v>
      </c>
      <c r="G66" s="15">
        <f t="shared" si="5"/>
        <v>46288</v>
      </c>
      <c r="H66" s="15">
        <f t="shared" si="6"/>
        <v>46318</v>
      </c>
      <c r="I66" s="15">
        <f t="shared" si="7"/>
        <v>46342</v>
      </c>
      <c r="J66" s="15">
        <f t="shared" si="8"/>
        <v>46347</v>
      </c>
      <c r="K66" s="16" t="str">
        <f t="shared" ca="1" si="9"/>
        <v>🟢 В порядке</v>
      </c>
      <c r="L66" s="4"/>
    </row>
    <row r="67" spans="1:12" ht="21.95" customHeight="1" x14ac:dyDescent="0.3">
      <c r="A67" s="1">
        <v>63</v>
      </c>
      <c r="B67" s="2" t="s">
        <v>163</v>
      </c>
      <c r="C67" s="2" t="s">
        <v>166</v>
      </c>
      <c r="D67" s="2" t="s">
        <v>167</v>
      </c>
      <c r="E67" s="3" t="s">
        <v>17</v>
      </c>
      <c r="F67" s="39">
        <v>46350</v>
      </c>
      <c r="G67" s="13">
        <f t="shared" si="5"/>
        <v>46289</v>
      </c>
      <c r="H67" s="13">
        <f t="shared" si="6"/>
        <v>46319</v>
      </c>
      <c r="I67" s="13">
        <f t="shared" si="7"/>
        <v>46343</v>
      </c>
      <c r="J67" s="13">
        <f t="shared" si="8"/>
        <v>46348</v>
      </c>
      <c r="K67" s="14" t="str">
        <f t="shared" ca="1" si="9"/>
        <v>🟢 В порядке</v>
      </c>
      <c r="L67" s="1"/>
    </row>
    <row r="68" spans="1:12" ht="21.95" customHeight="1" x14ac:dyDescent="0.3">
      <c r="A68" s="4">
        <v>64</v>
      </c>
      <c r="B68" s="5" t="s">
        <v>168</v>
      </c>
      <c r="C68" s="5" t="s">
        <v>169</v>
      </c>
      <c r="D68" s="5" t="s">
        <v>170</v>
      </c>
      <c r="E68" s="6" t="s">
        <v>17</v>
      </c>
      <c r="F68" s="39">
        <v>46351</v>
      </c>
      <c r="G68" s="15">
        <f t="shared" si="5"/>
        <v>46290</v>
      </c>
      <c r="H68" s="15">
        <f t="shared" si="6"/>
        <v>46320</v>
      </c>
      <c r="I68" s="15">
        <f t="shared" si="7"/>
        <v>46344</v>
      </c>
      <c r="J68" s="15">
        <f t="shared" si="8"/>
        <v>46349</v>
      </c>
      <c r="K68" s="16" t="str">
        <f t="shared" ca="1" si="9"/>
        <v>🟢 В порядке</v>
      </c>
      <c r="L68" s="4"/>
    </row>
    <row r="69" spans="1:12" ht="21.95" customHeight="1" x14ac:dyDescent="0.3">
      <c r="A69" s="1">
        <v>65</v>
      </c>
      <c r="B69" s="2" t="s">
        <v>168</v>
      </c>
      <c r="C69" s="2" t="s">
        <v>171</v>
      </c>
      <c r="D69" s="2" t="s">
        <v>172</v>
      </c>
      <c r="E69" s="3" t="s">
        <v>17</v>
      </c>
      <c r="F69" s="39">
        <v>46352</v>
      </c>
      <c r="G69" s="13">
        <f t="shared" ref="G69:G100" si="10">IF(F69="","",DATE(YEAR(F69),MONTH(F69)-2,DAY(F69)))</f>
        <v>46291</v>
      </c>
      <c r="H69" s="13">
        <f t="shared" ref="H69:H100" si="11">IF(F69="","",DATE(YEAR(F69),MONTH(F69)-1,DAY(F69)))</f>
        <v>46321</v>
      </c>
      <c r="I69" s="13">
        <f t="shared" ref="I69:I100" si="12">IF(F69="","",F69-7)</f>
        <v>46345</v>
      </c>
      <c r="J69" s="13">
        <f t="shared" ref="J69:J100" si="13">IF(F69="","",F69-2)</f>
        <v>46350</v>
      </c>
      <c r="K69" s="14" t="str">
        <f t="shared" ref="K69:K100" ca="1" si="14">IF(F69="","❓ Не указана",IF(F69&lt;TODAY(),"🔴 Просрочена",IF(J69&lt;=TODAY(),"🔴 Просрочена скоро",IF(I69&lt;=TODAY(),"🟡 Скоро (-7 дн.)",IF(H69&lt;=TODAY(),"🟡 Скоро (-1 мес.)",IF(G69&lt;=TODAY(),"🟡 Скоро (-2 мес.)","🟢 В порядке"))))))</f>
        <v>🟢 В порядке</v>
      </c>
      <c r="L69" s="1"/>
    </row>
    <row r="70" spans="1:12" ht="21.95" customHeight="1" x14ac:dyDescent="0.3">
      <c r="A70" s="4">
        <v>66</v>
      </c>
      <c r="B70" s="5" t="s">
        <v>168</v>
      </c>
      <c r="C70" s="5" t="s">
        <v>173</v>
      </c>
      <c r="D70" s="5" t="s">
        <v>174</v>
      </c>
      <c r="E70" s="6" t="s">
        <v>17</v>
      </c>
      <c r="F70" s="39">
        <v>46353</v>
      </c>
      <c r="G70" s="15">
        <f t="shared" si="10"/>
        <v>46292</v>
      </c>
      <c r="H70" s="15">
        <f t="shared" si="11"/>
        <v>46322</v>
      </c>
      <c r="I70" s="15">
        <f t="shared" si="12"/>
        <v>46346</v>
      </c>
      <c r="J70" s="15">
        <f t="shared" si="13"/>
        <v>46351</v>
      </c>
      <c r="K70" s="16" t="str">
        <f t="shared" ca="1" si="14"/>
        <v>🟢 В порядке</v>
      </c>
      <c r="L70" s="4"/>
    </row>
    <row r="71" spans="1:12" ht="21.95" customHeight="1" x14ac:dyDescent="0.3">
      <c r="A71" s="1">
        <v>67</v>
      </c>
      <c r="B71" s="2" t="s">
        <v>175</v>
      </c>
      <c r="C71" s="2" t="s">
        <v>176</v>
      </c>
      <c r="D71" s="2" t="s">
        <v>177</v>
      </c>
      <c r="E71" s="3" t="s">
        <v>17</v>
      </c>
      <c r="F71" s="39">
        <v>46354</v>
      </c>
      <c r="G71" s="13">
        <f t="shared" si="10"/>
        <v>46293</v>
      </c>
      <c r="H71" s="13">
        <f t="shared" si="11"/>
        <v>46323</v>
      </c>
      <c r="I71" s="13">
        <f t="shared" si="12"/>
        <v>46347</v>
      </c>
      <c r="J71" s="13">
        <f t="shared" si="13"/>
        <v>46352</v>
      </c>
      <c r="K71" s="14" t="str">
        <f t="shared" ca="1" si="14"/>
        <v>🟢 В порядке</v>
      </c>
      <c r="L71" s="1"/>
    </row>
    <row r="72" spans="1:12" ht="21.95" customHeight="1" x14ac:dyDescent="0.3">
      <c r="A72" s="4">
        <v>68</v>
      </c>
      <c r="B72" s="5" t="s">
        <v>175</v>
      </c>
      <c r="C72" s="5" t="s">
        <v>178</v>
      </c>
      <c r="D72" s="5" t="s">
        <v>179</v>
      </c>
      <c r="E72" s="6" t="s">
        <v>17</v>
      </c>
      <c r="F72" s="39">
        <v>46355</v>
      </c>
      <c r="G72" s="15">
        <f t="shared" si="10"/>
        <v>46294</v>
      </c>
      <c r="H72" s="15">
        <f t="shared" si="11"/>
        <v>46324</v>
      </c>
      <c r="I72" s="15">
        <f t="shared" si="12"/>
        <v>46348</v>
      </c>
      <c r="J72" s="15">
        <f t="shared" si="13"/>
        <v>46353</v>
      </c>
      <c r="K72" s="16" t="str">
        <f t="shared" ca="1" si="14"/>
        <v>🟢 В порядке</v>
      </c>
      <c r="L72" s="4"/>
    </row>
    <row r="73" spans="1:12" ht="21.95" customHeight="1" x14ac:dyDescent="0.3">
      <c r="A73" s="1">
        <v>69</v>
      </c>
      <c r="B73" s="2" t="s">
        <v>180</v>
      </c>
      <c r="C73" s="2" t="s">
        <v>181</v>
      </c>
      <c r="D73" s="2" t="s">
        <v>182</v>
      </c>
      <c r="E73" s="3" t="s">
        <v>17</v>
      </c>
      <c r="F73" s="39">
        <v>46356</v>
      </c>
      <c r="G73" s="13">
        <f t="shared" si="10"/>
        <v>46295</v>
      </c>
      <c r="H73" s="13">
        <f t="shared" si="11"/>
        <v>46325</v>
      </c>
      <c r="I73" s="13">
        <f t="shared" si="12"/>
        <v>46349</v>
      </c>
      <c r="J73" s="13">
        <f t="shared" si="13"/>
        <v>46354</v>
      </c>
      <c r="K73" s="14" t="str">
        <f t="shared" ca="1" si="14"/>
        <v>🟢 В порядке</v>
      </c>
      <c r="L73" s="1"/>
    </row>
    <row r="74" spans="1:12" ht="21.95" customHeight="1" x14ac:dyDescent="0.3">
      <c r="A74" s="4">
        <v>70</v>
      </c>
      <c r="B74" s="5" t="s">
        <v>180</v>
      </c>
      <c r="C74" s="5" t="s">
        <v>183</v>
      </c>
      <c r="D74" s="5" t="s">
        <v>184</v>
      </c>
      <c r="E74" s="6" t="s">
        <v>17</v>
      </c>
      <c r="F74" s="39">
        <v>46357</v>
      </c>
      <c r="G74" s="15">
        <f t="shared" si="10"/>
        <v>46296</v>
      </c>
      <c r="H74" s="15">
        <f t="shared" si="11"/>
        <v>46327</v>
      </c>
      <c r="I74" s="15">
        <f t="shared" si="12"/>
        <v>46350</v>
      </c>
      <c r="J74" s="15">
        <f t="shared" si="13"/>
        <v>46355</v>
      </c>
      <c r="K74" s="16" t="str">
        <f t="shared" ca="1" si="14"/>
        <v>🟢 В порядке</v>
      </c>
      <c r="L74" s="4"/>
    </row>
    <row r="75" spans="1:12" ht="21.95" customHeight="1" x14ac:dyDescent="0.3">
      <c r="A75" s="1">
        <v>71</v>
      </c>
      <c r="B75" s="2" t="s">
        <v>180</v>
      </c>
      <c r="C75" s="2" t="s">
        <v>185</v>
      </c>
      <c r="D75" s="2" t="s">
        <v>186</v>
      </c>
      <c r="E75" s="3" t="s">
        <v>17</v>
      </c>
      <c r="F75" s="39">
        <v>46358</v>
      </c>
      <c r="G75" s="13">
        <f t="shared" si="10"/>
        <v>46297</v>
      </c>
      <c r="H75" s="13">
        <f t="shared" si="11"/>
        <v>46328</v>
      </c>
      <c r="I75" s="13">
        <f t="shared" si="12"/>
        <v>46351</v>
      </c>
      <c r="J75" s="13">
        <f t="shared" si="13"/>
        <v>46356</v>
      </c>
      <c r="K75" s="14" t="str">
        <f t="shared" ca="1" si="14"/>
        <v>🟢 В порядке</v>
      </c>
      <c r="L75" s="1"/>
    </row>
    <row r="76" spans="1:12" ht="21.95" customHeight="1" x14ac:dyDescent="0.3">
      <c r="A76" s="4">
        <v>72</v>
      </c>
      <c r="B76" s="5" t="s">
        <v>187</v>
      </c>
      <c r="C76" s="5" t="s">
        <v>188</v>
      </c>
      <c r="D76" s="5" t="s">
        <v>189</v>
      </c>
      <c r="E76" s="6" t="s">
        <v>17</v>
      </c>
      <c r="F76" s="39">
        <v>46359</v>
      </c>
      <c r="G76" s="15">
        <f t="shared" si="10"/>
        <v>46298</v>
      </c>
      <c r="H76" s="15">
        <f t="shared" si="11"/>
        <v>46329</v>
      </c>
      <c r="I76" s="15">
        <f t="shared" si="12"/>
        <v>46352</v>
      </c>
      <c r="J76" s="15">
        <f t="shared" si="13"/>
        <v>46357</v>
      </c>
      <c r="K76" s="16" t="str">
        <f t="shared" ca="1" si="14"/>
        <v>🟢 В порядке</v>
      </c>
      <c r="L76" s="4"/>
    </row>
    <row r="77" spans="1:12" ht="21.95" customHeight="1" x14ac:dyDescent="0.3">
      <c r="A77" s="1">
        <v>73</v>
      </c>
      <c r="B77" s="2" t="s">
        <v>187</v>
      </c>
      <c r="C77" s="2" t="s">
        <v>190</v>
      </c>
      <c r="D77" s="2" t="s">
        <v>191</v>
      </c>
      <c r="E77" s="3" t="s">
        <v>17</v>
      </c>
      <c r="F77" s="39">
        <v>46360</v>
      </c>
      <c r="G77" s="13">
        <f t="shared" si="10"/>
        <v>46299</v>
      </c>
      <c r="H77" s="13">
        <f t="shared" si="11"/>
        <v>46330</v>
      </c>
      <c r="I77" s="13">
        <f t="shared" si="12"/>
        <v>46353</v>
      </c>
      <c r="J77" s="13">
        <f t="shared" si="13"/>
        <v>46358</v>
      </c>
      <c r="K77" s="14" t="str">
        <f t="shared" ca="1" si="14"/>
        <v>🟢 В порядке</v>
      </c>
      <c r="L77" s="1"/>
    </row>
    <row r="78" spans="1:12" ht="21.95" customHeight="1" x14ac:dyDescent="0.3">
      <c r="A78" s="4">
        <v>74</v>
      </c>
      <c r="B78" s="5" t="s">
        <v>187</v>
      </c>
      <c r="C78" s="5" t="s">
        <v>192</v>
      </c>
      <c r="D78" s="5" t="s">
        <v>193</v>
      </c>
      <c r="E78" s="6" t="s">
        <v>17</v>
      </c>
      <c r="F78" s="39">
        <v>46361</v>
      </c>
      <c r="G78" s="15">
        <f t="shared" si="10"/>
        <v>46300</v>
      </c>
      <c r="H78" s="15">
        <f t="shared" si="11"/>
        <v>46331</v>
      </c>
      <c r="I78" s="15">
        <f t="shared" si="12"/>
        <v>46354</v>
      </c>
      <c r="J78" s="15">
        <f t="shared" si="13"/>
        <v>46359</v>
      </c>
      <c r="K78" s="16" t="str">
        <f t="shared" ca="1" si="14"/>
        <v>🟢 В порядке</v>
      </c>
      <c r="L78" s="4"/>
    </row>
    <row r="79" spans="1:12" ht="21.95" customHeight="1" x14ac:dyDescent="0.3">
      <c r="A79" s="1">
        <v>75</v>
      </c>
      <c r="B79" s="2" t="s">
        <v>187</v>
      </c>
      <c r="C79" s="2" t="s">
        <v>194</v>
      </c>
      <c r="D79" s="2" t="s">
        <v>195</v>
      </c>
      <c r="E79" s="3" t="s">
        <v>17</v>
      </c>
      <c r="F79" s="39">
        <v>46362</v>
      </c>
      <c r="G79" s="13">
        <f t="shared" si="10"/>
        <v>46301</v>
      </c>
      <c r="H79" s="13">
        <f t="shared" si="11"/>
        <v>46332</v>
      </c>
      <c r="I79" s="13">
        <f t="shared" si="12"/>
        <v>46355</v>
      </c>
      <c r="J79" s="13">
        <f t="shared" si="13"/>
        <v>46360</v>
      </c>
      <c r="K79" s="14" t="str">
        <f t="shared" ca="1" si="14"/>
        <v>🟢 В порядке</v>
      </c>
      <c r="L79" s="1"/>
    </row>
    <row r="80" spans="1:12" ht="21.95" customHeight="1" x14ac:dyDescent="0.3">
      <c r="A80" s="4">
        <v>76</v>
      </c>
      <c r="B80" s="5" t="s">
        <v>196</v>
      </c>
      <c r="C80" s="5" t="s">
        <v>197</v>
      </c>
      <c r="D80" s="5" t="s">
        <v>198</v>
      </c>
      <c r="E80" s="6" t="s">
        <v>17</v>
      </c>
      <c r="F80" s="39">
        <v>46363</v>
      </c>
      <c r="G80" s="15">
        <f t="shared" si="10"/>
        <v>46302</v>
      </c>
      <c r="H80" s="15">
        <f t="shared" si="11"/>
        <v>46333</v>
      </c>
      <c r="I80" s="15">
        <f t="shared" si="12"/>
        <v>46356</v>
      </c>
      <c r="J80" s="15">
        <f t="shared" si="13"/>
        <v>46361</v>
      </c>
      <c r="K80" s="16" t="str">
        <f t="shared" ca="1" si="14"/>
        <v>🟢 В порядке</v>
      </c>
      <c r="L80" s="4"/>
    </row>
    <row r="81" spans="1:12" ht="21.95" customHeight="1" x14ac:dyDescent="0.3">
      <c r="A81" s="1">
        <v>77</v>
      </c>
      <c r="B81" s="2" t="s">
        <v>196</v>
      </c>
      <c r="C81" s="2" t="s">
        <v>199</v>
      </c>
      <c r="D81" s="2" t="s">
        <v>200</v>
      </c>
      <c r="E81" s="3" t="s">
        <v>17</v>
      </c>
      <c r="F81" s="39">
        <v>46364</v>
      </c>
      <c r="G81" s="13">
        <f t="shared" si="10"/>
        <v>46303</v>
      </c>
      <c r="H81" s="13">
        <f t="shared" si="11"/>
        <v>46334</v>
      </c>
      <c r="I81" s="13">
        <f t="shared" si="12"/>
        <v>46357</v>
      </c>
      <c r="J81" s="13">
        <f t="shared" si="13"/>
        <v>46362</v>
      </c>
      <c r="K81" s="14" t="str">
        <f t="shared" ca="1" si="14"/>
        <v>🟢 В порядке</v>
      </c>
      <c r="L81" s="1"/>
    </row>
    <row r="82" spans="1:12" ht="21.95" customHeight="1" x14ac:dyDescent="0.3">
      <c r="A82" s="4">
        <v>78</v>
      </c>
      <c r="B82" s="5" t="s">
        <v>201</v>
      </c>
      <c r="C82" s="5" t="s">
        <v>202</v>
      </c>
      <c r="D82" s="5" t="s">
        <v>203</v>
      </c>
      <c r="E82" s="6" t="s">
        <v>17</v>
      </c>
      <c r="F82" s="39">
        <v>46365</v>
      </c>
      <c r="G82" s="15">
        <f t="shared" si="10"/>
        <v>46304</v>
      </c>
      <c r="H82" s="15">
        <f t="shared" si="11"/>
        <v>46335</v>
      </c>
      <c r="I82" s="15">
        <f t="shared" si="12"/>
        <v>46358</v>
      </c>
      <c r="J82" s="15">
        <f t="shared" si="13"/>
        <v>46363</v>
      </c>
      <c r="K82" s="16" t="str">
        <f t="shared" ca="1" si="14"/>
        <v>🟢 В порядке</v>
      </c>
      <c r="L82" s="4"/>
    </row>
    <row r="83" spans="1:12" ht="21.95" customHeight="1" x14ac:dyDescent="0.3">
      <c r="A83" s="1">
        <v>79</v>
      </c>
      <c r="B83" s="2" t="s">
        <v>201</v>
      </c>
      <c r="C83" s="2" t="s">
        <v>204</v>
      </c>
      <c r="D83" s="2" t="s">
        <v>205</v>
      </c>
      <c r="E83" s="3" t="s">
        <v>17</v>
      </c>
      <c r="F83" s="39">
        <v>46366</v>
      </c>
      <c r="G83" s="13">
        <f t="shared" si="10"/>
        <v>46305</v>
      </c>
      <c r="H83" s="13">
        <f t="shared" si="11"/>
        <v>46336</v>
      </c>
      <c r="I83" s="13">
        <f t="shared" si="12"/>
        <v>46359</v>
      </c>
      <c r="J83" s="13">
        <f t="shared" si="13"/>
        <v>46364</v>
      </c>
      <c r="K83" s="14" t="str">
        <f t="shared" ca="1" si="14"/>
        <v>🟢 В порядке</v>
      </c>
      <c r="L83" s="1"/>
    </row>
    <row r="84" spans="1:12" ht="21.95" customHeight="1" x14ac:dyDescent="0.3">
      <c r="A84" s="4">
        <v>80</v>
      </c>
      <c r="B84" s="5" t="s">
        <v>201</v>
      </c>
      <c r="C84" s="5" t="s">
        <v>206</v>
      </c>
      <c r="D84" s="5" t="s">
        <v>207</v>
      </c>
      <c r="E84" s="6" t="s">
        <v>17</v>
      </c>
      <c r="F84" s="39">
        <v>46367</v>
      </c>
      <c r="G84" s="15">
        <f t="shared" si="10"/>
        <v>46306</v>
      </c>
      <c r="H84" s="15">
        <f t="shared" si="11"/>
        <v>46337</v>
      </c>
      <c r="I84" s="15">
        <f t="shared" si="12"/>
        <v>46360</v>
      </c>
      <c r="J84" s="15">
        <f t="shared" si="13"/>
        <v>46365</v>
      </c>
      <c r="K84" s="16" t="str">
        <f t="shared" ca="1" si="14"/>
        <v>🟢 В порядке</v>
      </c>
      <c r="L84" s="4"/>
    </row>
    <row r="85" spans="1:12" ht="21.95" customHeight="1" x14ac:dyDescent="0.3">
      <c r="A85" s="1">
        <v>81</v>
      </c>
      <c r="B85" s="2" t="s">
        <v>208</v>
      </c>
      <c r="C85" s="2" t="s">
        <v>209</v>
      </c>
      <c r="D85" s="2" t="s">
        <v>210</v>
      </c>
      <c r="E85" s="3" t="s">
        <v>17</v>
      </c>
      <c r="F85" s="39">
        <v>46368</v>
      </c>
      <c r="G85" s="13">
        <f t="shared" si="10"/>
        <v>46307</v>
      </c>
      <c r="H85" s="13">
        <f t="shared" si="11"/>
        <v>46338</v>
      </c>
      <c r="I85" s="13">
        <f t="shared" si="12"/>
        <v>46361</v>
      </c>
      <c r="J85" s="13">
        <f t="shared" si="13"/>
        <v>46366</v>
      </c>
      <c r="K85" s="14" t="str">
        <f t="shared" ca="1" si="14"/>
        <v>🟢 В порядке</v>
      </c>
      <c r="L85" s="1"/>
    </row>
    <row r="86" spans="1:12" ht="21.95" customHeight="1" x14ac:dyDescent="0.3">
      <c r="A86" s="4">
        <v>82</v>
      </c>
      <c r="B86" s="5" t="s">
        <v>208</v>
      </c>
      <c r="C86" s="5" t="s">
        <v>211</v>
      </c>
      <c r="D86" s="5" t="s">
        <v>212</v>
      </c>
      <c r="E86" s="6" t="s">
        <v>17</v>
      </c>
      <c r="F86" s="39">
        <v>46369</v>
      </c>
      <c r="G86" s="15">
        <f t="shared" si="10"/>
        <v>46308</v>
      </c>
      <c r="H86" s="15">
        <f t="shared" si="11"/>
        <v>46339</v>
      </c>
      <c r="I86" s="15">
        <f t="shared" si="12"/>
        <v>46362</v>
      </c>
      <c r="J86" s="15">
        <f t="shared" si="13"/>
        <v>46367</v>
      </c>
      <c r="K86" s="16" t="str">
        <f t="shared" ca="1" si="14"/>
        <v>🟢 В порядке</v>
      </c>
      <c r="L86" s="4"/>
    </row>
    <row r="87" spans="1:12" ht="21.95" customHeight="1" x14ac:dyDescent="0.3">
      <c r="A87" s="1">
        <v>83</v>
      </c>
      <c r="B87" s="2" t="s">
        <v>213</v>
      </c>
      <c r="C87" s="2" t="s">
        <v>214</v>
      </c>
      <c r="D87" s="2" t="s">
        <v>215</v>
      </c>
      <c r="E87" s="3" t="s">
        <v>17</v>
      </c>
      <c r="F87" s="39">
        <v>46370</v>
      </c>
      <c r="G87" s="13">
        <f t="shared" si="10"/>
        <v>46309</v>
      </c>
      <c r="H87" s="13">
        <f t="shared" si="11"/>
        <v>46340</v>
      </c>
      <c r="I87" s="13">
        <f t="shared" si="12"/>
        <v>46363</v>
      </c>
      <c r="J87" s="13">
        <f t="shared" si="13"/>
        <v>46368</v>
      </c>
      <c r="K87" s="14" t="str">
        <f t="shared" ca="1" si="14"/>
        <v>🟢 В порядке</v>
      </c>
      <c r="L87" s="1"/>
    </row>
    <row r="88" spans="1:12" ht="21.95" customHeight="1" x14ac:dyDescent="0.3">
      <c r="A88" s="4">
        <v>84</v>
      </c>
      <c r="B88" s="5" t="s">
        <v>213</v>
      </c>
      <c r="C88" s="5" t="s">
        <v>216</v>
      </c>
      <c r="D88" s="5" t="s">
        <v>217</v>
      </c>
      <c r="E88" s="6" t="s">
        <v>17</v>
      </c>
      <c r="F88" s="39">
        <v>46371</v>
      </c>
      <c r="G88" s="15">
        <f t="shared" si="10"/>
        <v>46310</v>
      </c>
      <c r="H88" s="15">
        <f t="shared" si="11"/>
        <v>46341</v>
      </c>
      <c r="I88" s="15">
        <f t="shared" si="12"/>
        <v>46364</v>
      </c>
      <c r="J88" s="15">
        <f t="shared" si="13"/>
        <v>46369</v>
      </c>
      <c r="K88" s="16" t="str">
        <f t="shared" ca="1" si="14"/>
        <v>🟢 В порядке</v>
      </c>
      <c r="L88" s="4"/>
    </row>
    <row r="89" spans="1:12" ht="21.95" customHeight="1" x14ac:dyDescent="0.3">
      <c r="A89" s="1">
        <v>85</v>
      </c>
      <c r="B89" s="2" t="s">
        <v>218</v>
      </c>
      <c r="C89" s="2" t="s">
        <v>219</v>
      </c>
      <c r="D89" s="2" t="s">
        <v>220</v>
      </c>
      <c r="E89" s="3" t="s">
        <v>17</v>
      </c>
      <c r="F89" s="39">
        <v>46372</v>
      </c>
      <c r="G89" s="13">
        <f t="shared" si="10"/>
        <v>46311</v>
      </c>
      <c r="H89" s="13">
        <f t="shared" si="11"/>
        <v>46342</v>
      </c>
      <c r="I89" s="13">
        <f t="shared" si="12"/>
        <v>46365</v>
      </c>
      <c r="J89" s="13">
        <f t="shared" si="13"/>
        <v>46370</v>
      </c>
      <c r="K89" s="14" t="str">
        <f t="shared" ca="1" si="14"/>
        <v>🟢 В порядке</v>
      </c>
      <c r="L89" s="1"/>
    </row>
    <row r="90" spans="1:12" ht="21.95" customHeight="1" x14ac:dyDescent="0.3">
      <c r="A90" s="4">
        <v>86</v>
      </c>
      <c r="B90" s="5" t="s">
        <v>218</v>
      </c>
      <c r="C90" s="5" t="s">
        <v>221</v>
      </c>
      <c r="D90" s="5" t="s">
        <v>222</v>
      </c>
      <c r="E90" s="6" t="s">
        <v>17</v>
      </c>
      <c r="F90" s="39">
        <v>46373</v>
      </c>
      <c r="G90" s="15">
        <f t="shared" si="10"/>
        <v>46312</v>
      </c>
      <c r="H90" s="15">
        <f t="shared" si="11"/>
        <v>46343</v>
      </c>
      <c r="I90" s="15">
        <f t="shared" si="12"/>
        <v>46366</v>
      </c>
      <c r="J90" s="15">
        <f t="shared" si="13"/>
        <v>46371</v>
      </c>
      <c r="K90" s="16" t="str">
        <f t="shared" ca="1" si="14"/>
        <v>🟢 В порядке</v>
      </c>
      <c r="L90" s="4"/>
    </row>
    <row r="91" spans="1:12" ht="21.95" customHeight="1" x14ac:dyDescent="0.3">
      <c r="A91" s="1">
        <v>87</v>
      </c>
      <c r="B91" s="2" t="s">
        <v>218</v>
      </c>
      <c r="C91" s="2" t="s">
        <v>223</v>
      </c>
      <c r="D91" s="2" t="s">
        <v>224</v>
      </c>
      <c r="E91" s="3" t="s">
        <v>17</v>
      </c>
      <c r="F91" s="39">
        <v>46374</v>
      </c>
      <c r="G91" s="13">
        <f t="shared" si="10"/>
        <v>46313</v>
      </c>
      <c r="H91" s="13">
        <f t="shared" si="11"/>
        <v>46344</v>
      </c>
      <c r="I91" s="13">
        <f t="shared" si="12"/>
        <v>46367</v>
      </c>
      <c r="J91" s="13">
        <f t="shared" si="13"/>
        <v>46372</v>
      </c>
      <c r="K91" s="14" t="str">
        <f t="shared" ca="1" si="14"/>
        <v>🟢 В порядке</v>
      </c>
      <c r="L91" s="1"/>
    </row>
    <row r="92" spans="1:12" ht="21.95" customHeight="1" x14ac:dyDescent="0.3">
      <c r="A92" s="4">
        <v>88</v>
      </c>
      <c r="B92" s="5" t="s">
        <v>225</v>
      </c>
      <c r="C92" s="5" t="s">
        <v>226</v>
      </c>
      <c r="D92" s="5" t="s">
        <v>227</v>
      </c>
      <c r="E92" s="6" t="s">
        <v>17</v>
      </c>
      <c r="F92" s="39">
        <v>46375</v>
      </c>
      <c r="G92" s="15">
        <f t="shared" si="10"/>
        <v>46314</v>
      </c>
      <c r="H92" s="15">
        <f t="shared" si="11"/>
        <v>46345</v>
      </c>
      <c r="I92" s="15">
        <f t="shared" si="12"/>
        <v>46368</v>
      </c>
      <c r="J92" s="15">
        <f t="shared" si="13"/>
        <v>46373</v>
      </c>
      <c r="K92" s="16" t="str">
        <f t="shared" ca="1" si="14"/>
        <v>🟢 В порядке</v>
      </c>
      <c r="L92" s="4"/>
    </row>
    <row r="93" spans="1:12" ht="21.95" customHeight="1" x14ac:dyDescent="0.3">
      <c r="A93" s="1">
        <v>89</v>
      </c>
      <c r="B93" s="2" t="s">
        <v>225</v>
      </c>
      <c r="C93" s="2" t="s">
        <v>228</v>
      </c>
      <c r="D93" s="2" t="s">
        <v>229</v>
      </c>
      <c r="E93" s="3" t="s">
        <v>17</v>
      </c>
      <c r="F93" s="39">
        <v>46376</v>
      </c>
      <c r="G93" s="13">
        <f t="shared" si="10"/>
        <v>46315</v>
      </c>
      <c r="H93" s="13">
        <f t="shared" si="11"/>
        <v>46346</v>
      </c>
      <c r="I93" s="13">
        <f t="shared" si="12"/>
        <v>46369</v>
      </c>
      <c r="J93" s="13">
        <f t="shared" si="13"/>
        <v>46374</v>
      </c>
      <c r="K93" s="14" t="str">
        <f t="shared" ca="1" si="14"/>
        <v>🟢 В порядке</v>
      </c>
      <c r="L93" s="1"/>
    </row>
    <row r="94" spans="1:12" ht="21.95" customHeight="1" x14ac:dyDescent="0.3">
      <c r="A94" s="4">
        <v>90</v>
      </c>
      <c r="B94" s="5" t="s">
        <v>230</v>
      </c>
      <c r="C94" s="5" t="s">
        <v>231</v>
      </c>
      <c r="D94" s="5" t="s">
        <v>232</v>
      </c>
      <c r="E94" s="6" t="s">
        <v>17</v>
      </c>
      <c r="F94" s="39">
        <v>46377</v>
      </c>
      <c r="G94" s="15">
        <f t="shared" si="10"/>
        <v>46316</v>
      </c>
      <c r="H94" s="15">
        <f t="shared" si="11"/>
        <v>46347</v>
      </c>
      <c r="I94" s="15">
        <f t="shared" si="12"/>
        <v>46370</v>
      </c>
      <c r="J94" s="15">
        <f t="shared" si="13"/>
        <v>46375</v>
      </c>
      <c r="K94" s="16" t="str">
        <f t="shared" ca="1" si="14"/>
        <v>🟢 В порядке</v>
      </c>
      <c r="L94" s="4"/>
    </row>
    <row r="95" spans="1:12" ht="21.95" customHeight="1" x14ac:dyDescent="0.3">
      <c r="A95" s="1">
        <v>91</v>
      </c>
      <c r="B95" s="2" t="s">
        <v>230</v>
      </c>
      <c r="C95" s="2" t="s">
        <v>233</v>
      </c>
      <c r="D95" s="2" t="s">
        <v>234</v>
      </c>
      <c r="E95" s="3" t="s">
        <v>17</v>
      </c>
      <c r="F95" s="39">
        <v>46378</v>
      </c>
      <c r="G95" s="13">
        <f t="shared" si="10"/>
        <v>46317</v>
      </c>
      <c r="H95" s="13">
        <f t="shared" si="11"/>
        <v>46348</v>
      </c>
      <c r="I95" s="13">
        <f t="shared" si="12"/>
        <v>46371</v>
      </c>
      <c r="J95" s="13">
        <f t="shared" si="13"/>
        <v>46376</v>
      </c>
      <c r="K95" s="14" t="str">
        <f t="shared" ca="1" si="14"/>
        <v>🟢 В порядке</v>
      </c>
      <c r="L95" s="1"/>
    </row>
    <row r="96" spans="1:12" ht="21.95" customHeight="1" x14ac:dyDescent="0.3">
      <c r="A96" s="4">
        <v>92</v>
      </c>
      <c r="B96" s="5" t="s">
        <v>235</v>
      </c>
      <c r="C96" s="5" t="s">
        <v>236</v>
      </c>
      <c r="D96" s="5" t="s">
        <v>237</v>
      </c>
      <c r="E96" s="6" t="s">
        <v>17</v>
      </c>
      <c r="F96" s="39">
        <v>46379</v>
      </c>
      <c r="G96" s="15">
        <f t="shared" si="10"/>
        <v>46318</v>
      </c>
      <c r="H96" s="15">
        <f t="shared" si="11"/>
        <v>46349</v>
      </c>
      <c r="I96" s="15">
        <f t="shared" si="12"/>
        <v>46372</v>
      </c>
      <c r="J96" s="15">
        <f t="shared" si="13"/>
        <v>46377</v>
      </c>
      <c r="K96" s="16" t="str">
        <f t="shared" ca="1" si="14"/>
        <v>🟢 В порядке</v>
      </c>
      <c r="L96" s="4"/>
    </row>
    <row r="97" spans="1:12" ht="21.95" customHeight="1" x14ac:dyDescent="0.3">
      <c r="A97" s="1">
        <v>93</v>
      </c>
      <c r="B97" s="2" t="s">
        <v>235</v>
      </c>
      <c r="C97" s="2" t="s">
        <v>238</v>
      </c>
      <c r="D97" s="2" t="s">
        <v>239</v>
      </c>
      <c r="E97" s="3" t="s">
        <v>17</v>
      </c>
      <c r="F97" s="39">
        <v>46380</v>
      </c>
      <c r="G97" s="13">
        <f t="shared" si="10"/>
        <v>46319</v>
      </c>
      <c r="H97" s="13">
        <f t="shared" si="11"/>
        <v>46350</v>
      </c>
      <c r="I97" s="13">
        <f t="shared" si="12"/>
        <v>46373</v>
      </c>
      <c r="J97" s="13">
        <f t="shared" si="13"/>
        <v>46378</v>
      </c>
      <c r="K97" s="14" t="str">
        <f t="shared" ca="1" si="14"/>
        <v>🟢 В порядке</v>
      </c>
      <c r="L97" s="1"/>
    </row>
    <row r="98" spans="1:12" ht="21.95" customHeight="1" x14ac:dyDescent="0.3">
      <c r="A98" s="4">
        <v>94</v>
      </c>
      <c r="B98" s="5" t="s">
        <v>240</v>
      </c>
      <c r="C98" s="5" t="s">
        <v>241</v>
      </c>
      <c r="D98" s="5" t="s">
        <v>242</v>
      </c>
      <c r="E98" s="6" t="s">
        <v>17</v>
      </c>
      <c r="F98" s="39">
        <v>46381</v>
      </c>
      <c r="G98" s="15">
        <f t="shared" si="10"/>
        <v>46320</v>
      </c>
      <c r="H98" s="15">
        <f t="shared" si="11"/>
        <v>46351</v>
      </c>
      <c r="I98" s="15">
        <f t="shared" si="12"/>
        <v>46374</v>
      </c>
      <c r="J98" s="15">
        <f t="shared" si="13"/>
        <v>46379</v>
      </c>
      <c r="K98" s="16" t="str">
        <f t="shared" ca="1" si="14"/>
        <v>🟢 В порядке</v>
      </c>
      <c r="L98" s="4"/>
    </row>
    <row r="99" spans="1:12" ht="21.95" customHeight="1" x14ac:dyDescent="0.3">
      <c r="A99" s="1">
        <v>95</v>
      </c>
      <c r="B99" s="2" t="s">
        <v>240</v>
      </c>
      <c r="C99" s="2" t="s">
        <v>243</v>
      </c>
      <c r="D99" s="2" t="s">
        <v>244</v>
      </c>
      <c r="E99" s="3" t="s">
        <v>17</v>
      </c>
      <c r="F99" s="39">
        <v>46382</v>
      </c>
      <c r="G99" s="13">
        <f t="shared" si="10"/>
        <v>46321</v>
      </c>
      <c r="H99" s="13">
        <f t="shared" si="11"/>
        <v>46352</v>
      </c>
      <c r="I99" s="13">
        <f t="shared" si="12"/>
        <v>46375</v>
      </c>
      <c r="J99" s="13">
        <f t="shared" si="13"/>
        <v>46380</v>
      </c>
      <c r="K99" s="14" t="str">
        <f t="shared" ca="1" si="14"/>
        <v>🟢 В порядке</v>
      </c>
      <c r="L99" s="1"/>
    </row>
    <row r="100" spans="1:12" ht="21.95" customHeight="1" x14ac:dyDescent="0.3">
      <c r="A100" s="4">
        <v>96</v>
      </c>
      <c r="B100" s="5" t="s">
        <v>245</v>
      </c>
      <c r="C100" s="5" t="s">
        <v>246</v>
      </c>
      <c r="D100" s="5" t="s">
        <v>247</v>
      </c>
      <c r="E100" s="6" t="s">
        <v>17</v>
      </c>
      <c r="F100" s="39">
        <v>46383</v>
      </c>
      <c r="G100" s="15">
        <f t="shared" si="10"/>
        <v>46322</v>
      </c>
      <c r="H100" s="15">
        <f t="shared" si="11"/>
        <v>46353</v>
      </c>
      <c r="I100" s="15">
        <f t="shared" si="12"/>
        <v>46376</v>
      </c>
      <c r="J100" s="15">
        <f t="shared" si="13"/>
        <v>46381</v>
      </c>
      <c r="K100" s="16" t="str">
        <f t="shared" ca="1" si="14"/>
        <v>🟢 В порядке</v>
      </c>
      <c r="L100" s="4"/>
    </row>
    <row r="101" spans="1:12" ht="21.95" customHeight="1" x14ac:dyDescent="0.3">
      <c r="A101" s="1">
        <v>97</v>
      </c>
      <c r="B101" s="2" t="s">
        <v>245</v>
      </c>
      <c r="C101" s="2" t="s">
        <v>248</v>
      </c>
      <c r="D101" s="2" t="s">
        <v>249</v>
      </c>
      <c r="E101" s="3" t="s">
        <v>17</v>
      </c>
      <c r="F101" s="39">
        <v>46384</v>
      </c>
      <c r="G101" s="13">
        <f t="shared" ref="G101:G132" si="15">IF(F101="","",DATE(YEAR(F101),MONTH(F101)-2,DAY(F101)))</f>
        <v>46323</v>
      </c>
      <c r="H101" s="13">
        <f t="shared" ref="H101:H132" si="16">IF(F101="","",DATE(YEAR(F101),MONTH(F101)-1,DAY(F101)))</f>
        <v>46354</v>
      </c>
      <c r="I101" s="13">
        <f t="shared" ref="I101:I132" si="17">IF(F101="","",F101-7)</f>
        <v>46377</v>
      </c>
      <c r="J101" s="13">
        <f t="shared" ref="J101:J132" si="18">IF(F101="","",F101-2)</f>
        <v>46382</v>
      </c>
      <c r="K101" s="14" t="str">
        <f t="shared" ref="K101:K132" ca="1" si="19">IF(F101="","❓ Не указана",IF(F101&lt;TODAY(),"🔴 Просрочена",IF(J101&lt;=TODAY(),"🔴 Просрочена скоро",IF(I101&lt;=TODAY(),"🟡 Скоро (-7 дн.)",IF(H101&lt;=TODAY(),"🟡 Скоро (-1 мес.)",IF(G101&lt;=TODAY(),"🟡 Скоро (-2 мес.)","🟢 В порядке"))))))</f>
        <v>🟢 В порядке</v>
      </c>
      <c r="L101" s="1"/>
    </row>
    <row r="102" spans="1:12" ht="21.95" customHeight="1" x14ac:dyDescent="0.3">
      <c r="A102" s="4">
        <v>98</v>
      </c>
      <c r="B102" s="5" t="s">
        <v>245</v>
      </c>
      <c r="C102" s="5" t="s">
        <v>250</v>
      </c>
      <c r="D102" s="5" t="s">
        <v>251</v>
      </c>
      <c r="E102" s="6" t="s">
        <v>17</v>
      </c>
      <c r="F102" s="39">
        <v>46385</v>
      </c>
      <c r="G102" s="15">
        <f t="shared" si="15"/>
        <v>46324</v>
      </c>
      <c r="H102" s="15">
        <f t="shared" si="16"/>
        <v>46355</v>
      </c>
      <c r="I102" s="15">
        <f t="shared" si="17"/>
        <v>46378</v>
      </c>
      <c r="J102" s="15">
        <f t="shared" si="18"/>
        <v>46383</v>
      </c>
      <c r="K102" s="16" t="str">
        <f t="shared" ca="1" si="19"/>
        <v>🟢 В порядке</v>
      </c>
      <c r="L102" s="4"/>
    </row>
    <row r="103" spans="1:12" ht="21.95" customHeight="1" x14ac:dyDescent="0.3">
      <c r="A103" s="1">
        <v>99</v>
      </c>
      <c r="B103" s="2" t="s">
        <v>245</v>
      </c>
      <c r="C103" s="2" t="s">
        <v>252</v>
      </c>
      <c r="D103" s="2" t="s">
        <v>253</v>
      </c>
      <c r="E103" s="3" t="s">
        <v>17</v>
      </c>
      <c r="F103" s="39">
        <v>46386</v>
      </c>
      <c r="G103" s="13">
        <f t="shared" si="15"/>
        <v>46325</v>
      </c>
      <c r="H103" s="13">
        <f t="shared" si="16"/>
        <v>46356</v>
      </c>
      <c r="I103" s="13">
        <f t="shared" si="17"/>
        <v>46379</v>
      </c>
      <c r="J103" s="13">
        <f t="shared" si="18"/>
        <v>46384</v>
      </c>
      <c r="K103" s="14" t="str">
        <f t="shared" ca="1" si="19"/>
        <v>🟢 В порядке</v>
      </c>
      <c r="L103" s="1"/>
    </row>
    <row r="104" spans="1:12" ht="21.95" customHeight="1" x14ac:dyDescent="0.3">
      <c r="A104" s="4">
        <v>100</v>
      </c>
      <c r="B104" s="5" t="s">
        <v>254</v>
      </c>
      <c r="C104" s="5" t="s">
        <v>255</v>
      </c>
      <c r="D104" s="5" t="s">
        <v>256</v>
      </c>
      <c r="E104" s="6" t="s">
        <v>17</v>
      </c>
      <c r="F104" s="39">
        <v>46387</v>
      </c>
      <c r="G104" s="15">
        <f t="shared" si="15"/>
        <v>46326</v>
      </c>
      <c r="H104" s="15">
        <f t="shared" si="16"/>
        <v>46357</v>
      </c>
      <c r="I104" s="15">
        <f t="shared" si="17"/>
        <v>46380</v>
      </c>
      <c r="J104" s="15">
        <f t="shared" si="18"/>
        <v>46385</v>
      </c>
      <c r="K104" s="16" t="str">
        <f t="shared" ca="1" si="19"/>
        <v>🟢 В порядке</v>
      </c>
      <c r="L104" s="4"/>
    </row>
    <row r="105" spans="1:12" ht="21.95" customHeight="1" x14ac:dyDescent="0.3">
      <c r="A105" s="1">
        <v>101</v>
      </c>
      <c r="B105" s="2" t="s">
        <v>254</v>
      </c>
      <c r="C105" s="2" t="s">
        <v>257</v>
      </c>
      <c r="D105" s="2" t="s">
        <v>258</v>
      </c>
      <c r="E105" s="3" t="s">
        <v>17</v>
      </c>
      <c r="F105" s="39">
        <v>46388</v>
      </c>
      <c r="G105" s="13">
        <f t="shared" si="15"/>
        <v>46327</v>
      </c>
      <c r="H105" s="13">
        <f t="shared" si="16"/>
        <v>46357</v>
      </c>
      <c r="I105" s="13">
        <f t="shared" si="17"/>
        <v>46381</v>
      </c>
      <c r="J105" s="13">
        <f t="shared" si="18"/>
        <v>46386</v>
      </c>
      <c r="K105" s="14" t="str">
        <f t="shared" ca="1" si="19"/>
        <v>🟢 В порядке</v>
      </c>
      <c r="L105" s="1"/>
    </row>
    <row r="106" spans="1:12" ht="21.95" customHeight="1" x14ac:dyDescent="0.3">
      <c r="A106" s="4">
        <v>102</v>
      </c>
      <c r="B106" s="5" t="s">
        <v>259</v>
      </c>
      <c r="C106" s="5" t="s">
        <v>260</v>
      </c>
      <c r="D106" s="5" t="s">
        <v>261</v>
      </c>
      <c r="E106" s="6" t="s">
        <v>17</v>
      </c>
      <c r="F106" s="39">
        <v>46389</v>
      </c>
      <c r="G106" s="15">
        <f t="shared" si="15"/>
        <v>46328</v>
      </c>
      <c r="H106" s="15">
        <f t="shared" si="16"/>
        <v>46358</v>
      </c>
      <c r="I106" s="15">
        <f t="shared" si="17"/>
        <v>46382</v>
      </c>
      <c r="J106" s="15">
        <f t="shared" si="18"/>
        <v>46387</v>
      </c>
      <c r="K106" s="16" t="str">
        <f t="shared" ca="1" si="19"/>
        <v>🟢 В порядке</v>
      </c>
      <c r="L106" s="4"/>
    </row>
    <row r="107" spans="1:12" ht="21.95" customHeight="1" x14ac:dyDescent="0.3">
      <c r="A107" s="1">
        <v>103</v>
      </c>
      <c r="B107" s="2" t="s">
        <v>259</v>
      </c>
      <c r="C107" s="2" t="s">
        <v>262</v>
      </c>
      <c r="D107" s="2" t="s">
        <v>263</v>
      </c>
      <c r="E107" s="3" t="s">
        <v>17</v>
      </c>
      <c r="F107" s="39">
        <v>46390</v>
      </c>
      <c r="G107" s="13">
        <f t="shared" si="15"/>
        <v>46329</v>
      </c>
      <c r="H107" s="13">
        <f t="shared" si="16"/>
        <v>46359</v>
      </c>
      <c r="I107" s="13">
        <f t="shared" si="17"/>
        <v>46383</v>
      </c>
      <c r="J107" s="13">
        <f t="shared" si="18"/>
        <v>46388</v>
      </c>
      <c r="K107" s="14" t="str">
        <f t="shared" ca="1" si="19"/>
        <v>🟢 В порядке</v>
      </c>
      <c r="L107" s="1"/>
    </row>
    <row r="108" spans="1:12" ht="21.95" customHeight="1" x14ac:dyDescent="0.3">
      <c r="A108" s="4">
        <v>104</v>
      </c>
      <c r="B108" s="5" t="s">
        <v>264</v>
      </c>
      <c r="C108" s="5" t="s">
        <v>265</v>
      </c>
      <c r="D108" s="5" t="s">
        <v>266</v>
      </c>
      <c r="E108" s="6" t="s">
        <v>17</v>
      </c>
      <c r="F108" s="39">
        <v>46391</v>
      </c>
      <c r="G108" s="15">
        <f t="shared" si="15"/>
        <v>46330</v>
      </c>
      <c r="H108" s="15">
        <f t="shared" si="16"/>
        <v>46360</v>
      </c>
      <c r="I108" s="15">
        <f t="shared" si="17"/>
        <v>46384</v>
      </c>
      <c r="J108" s="15">
        <f t="shared" si="18"/>
        <v>46389</v>
      </c>
      <c r="K108" s="16" t="str">
        <f t="shared" ca="1" si="19"/>
        <v>🟢 В порядке</v>
      </c>
      <c r="L108" s="4"/>
    </row>
    <row r="109" spans="1:12" ht="21.95" customHeight="1" x14ac:dyDescent="0.3">
      <c r="A109" s="1">
        <v>105</v>
      </c>
      <c r="B109" s="2" t="s">
        <v>264</v>
      </c>
      <c r="C109" s="2" t="s">
        <v>267</v>
      </c>
      <c r="D109" s="2" t="s">
        <v>268</v>
      </c>
      <c r="E109" s="3" t="s">
        <v>17</v>
      </c>
      <c r="F109" s="39">
        <v>46392</v>
      </c>
      <c r="G109" s="13">
        <f t="shared" si="15"/>
        <v>46331</v>
      </c>
      <c r="H109" s="13">
        <f t="shared" si="16"/>
        <v>46361</v>
      </c>
      <c r="I109" s="13">
        <f t="shared" si="17"/>
        <v>46385</v>
      </c>
      <c r="J109" s="13">
        <f t="shared" si="18"/>
        <v>46390</v>
      </c>
      <c r="K109" s="14" t="str">
        <f t="shared" ca="1" si="19"/>
        <v>🟢 В порядке</v>
      </c>
      <c r="L109" s="1"/>
    </row>
    <row r="110" spans="1:12" ht="21.95" customHeight="1" x14ac:dyDescent="0.3">
      <c r="A110" s="4">
        <v>106</v>
      </c>
      <c r="B110" s="5" t="s">
        <v>264</v>
      </c>
      <c r="C110" s="5" t="s">
        <v>269</v>
      </c>
      <c r="D110" s="5" t="s">
        <v>270</v>
      </c>
      <c r="E110" s="6" t="s">
        <v>17</v>
      </c>
      <c r="F110" s="39">
        <v>46393</v>
      </c>
      <c r="G110" s="15">
        <f t="shared" si="15"/>
        <v>46332</v>
      </c>
      <c r="H110" s="15">
        <f t="shared" si="16"/>
        <v>46362</v>
      </c>
      <c r="I110" s="15">
        <f t="shared" si="17"/>
        <v>46386</v>
      </c>
      <c r="J110" s="15">
        <f t="shared" si="18"/>
        <v>46391</v>
      </c>
      <c r="K110" s="16" t="str">
        <f t="shared" ca="1" si="19"/>
        <v>🟢 В порядке</v>
      </c>
      <c r="L110" s="4"/>
    </row>
    <row r="111" spans="1:12" ht="21.95" customHeight="1" x14ac:dyDescent="0.3">
      <c r="A111" s="1">
        <v>107</v>
      </c>
      <c r="B111" s="2" t="s">
        <v>264</v>
      </c>
      <c r="C111" s="2" t="s">
        <v>271</v>
      </c>
      <c r="D111" s="2" t="s">
        <v>272</v>
      </c>
      <c r="E111" s="3" t="s">
        <v>17</v>
      </c>
      <c r="F111" s="39">
        <v>46394</v>
      </c>
      <c r="G111" s="13">
        <f t="shared" si="15"/>
        <v>46333</v>
      </c>
      <c r="H111" s="13">
        <f t="shared" si="16"/>
        <v>46363</v>
      </c>
      <c r="I111" s="13">
        <f t="shared" si="17"/>
        <v>46387</v>
      </c>
      <c r="J111" s="13">
        <f t="shared" si="18"/>
        <v>46392</v>
      </c>
      <c r="K111" s="14" t="str">
        <f t="shared" ca="1" si="19"/>
        <v>🟢 В порядке</v>
      </c>
      <c r="L111" s="1"/>
    </row>
    <row r="112" spans="1:12" ht="21.95" customHeight="1" x14ac:dyDescent="0.3">
      <c r="A112" s="4">
        <v>108</v>
      </c>
      <c r="B112" s="5" t="s">
        <v>273</v>
      </c>
      <c r="C112" s="5" t="s">
        <v>274</v>
      </c>
      <c r="D112" s="5" t="s">
        <v>275</v>
      </c>
      <c r="E112" s="6" t="s">
        <v>17</v>
      </c>
      <c r="F112" s="39">
        <v>46395</v>
      </c>
      <c r="G112" s="15">
        <f t="shared" si="15"/>
        <v>46334</v>
      </c>
      <c r="H112" s="15">
        <f t="shared" si="16"/>
        <v>46364</v>
      </c>
      <c r="I112" s="15">
        <f t="shared" si="17"/>
        <v>46388</v>
      </c>
      <c r="J112" s="15">
        <f t="shared" si="18"/>
        <v>46393</v>
      </c>
      <c r="K112" s="16" t="str">
        <f t="shared" ca="1" si="19"/>
        <v>🟢 В порядке</v>
      </c>
      <c r="L112" s="4"/>
    </row>
    <row r="113" spans="1:12" ht="21.95" customHeight="1" x14ac:dyDescent="0.3">
      <c r="A113" s="1">
        <v>109</v>
      </c>
      <c r="B113" s="2" t="s">
        <v>273</v>
      </c>
      <c r="C113" s="2" t="s">
        <v>276</v>
      </c>
      <c r="D113" s="2" t="s">
        <v>277</v>
      </c>
      <c r="E113" s="3" t="s">
        <v>17</v>
      </c>
      <c r="F113" s="39">
        <v>46396</v>
      </c>
      <c r="G113" s="13">
        <f t="shared" si="15"/>
        <v>46335</v>
      </c>
      <c r="H113" s="13">
        <f t="shared" si="16"/>
        <v>46365</v>
      </c>
      <c r="I113" s="13">
        <f t="shared" si="17"/>
        <v>46389</v>
      </c>
      <c r="J113" s="13">
        <f t="shared" si="18"/>
        <v>46394</v>
      </c>
      <c r="K113" s="14" t="str">
        <f t="shared" ca="1" si="19"/>
        <v>🟢 В порядке</v>
      </c>
      <c r="L113" s="1"/>
    </row>
    <row r="114" spans="1:12" ht="21.95" customHeight="1" x14ac:dyDescent="0.3">
      <c r="A114" s="4">
        <v>110</v>
      </c>
      <c r="B114" s="5" t="s">
        <v>278</v>
      </c>
      <c r="C114" s="5" t="s">
        <v>279</v>
      </c>
      <c r="D114" s="5" t="s">
        <v>280</v>
      </c>
      <c r="E114" s="6" t="s">
        <v>17</v>
      </c>
      <c r="F114" s="39">
        <v>46397</v>
      </c>
      <c r="G114" s="15">
        <f t="shared" si="15"/>
        <v>46336</v>
      </c>
      <c r="H114" s="15">
        <f t="shared" si="16"/>
        <v>46366</v>
      </c>
      <c r="I114" s="15">
        <f t="shared" si="17"/>
        <v>46390</v>
      </c>
      <c r="J114" s="15">
        <f t="shared" si="18"/>
        <v>46395</v>
      </c>
      <c r="K114" s="16" t="str">
        <f t="shared" ca="1" si="19"/>
        <v>🟢 В порядке</v>
      </c>
      <c r="L114" s="4"/>
    </row>
    <row r="115" spans="1:12" ht="21.95" customHeight="1" x14ac:dyDescent="0.3">
      <c r="A115" s="1">
        <v>111</v>
      </c>
      <c r="B115" s="2" t="s">
        <v>278</v>
      </c>
      <c r="C115" s="2" t="s">
        <v>281</v>
      </c>
      <c r="D115" s="2" t="s">
        <v>282</v>
      </c>
      <c r="E115" s="3" t="s">
        <v>17</v>
      </c>
      <c r="F115" s="39">
        <v>46398</v>
      </c>
      <c r="G115" s="13">
        <f t="shared" si="15"/>
        <v>46337</v>
      </c>
      <c r="H115" s="13">
        <f t="shared" si="16"/>
        <v>46367</v>
      </c>
      <c r="I115" s="13">
        <f t="shared" si="17"/>
        <v>46391</v>
      </c>
      <c r="J115" s="13">
        <f t="shared" si="18"/>
        <v>46396</v>
      </c>
      <c r="K115" s="14" t="str">
        <f t="shared" ca="1" si="19"/>
        <v>🟢 В порядке</v>
      </c>
      <c r="L115" s="1"/>
    </row>
    <row r="116" spans="1:12" ht="21.95" customHeight="1" x14ac:dyDescent="0.3">
      <c r="A116" s="4">
        <v>112</v>
      </c>
      <c r="B116" s="5" t="s">
        <v>283</v>
      </c>
      <c r="C116" s="5" t="s">
        <v>284</v>
      </c>
      <c r="D116" s="5" t="s">
        <v>285</v>
      </c>
      <c r="E116" s="6" t="s">
        <v>17</v>
      </c>
      <c r="F116" s="39">
        <v>46399</v>
      </c>
      <c r="G116" s="15">
        <f t="shared" si="15"/>
        <v>46338</v>
      </c>
      <c r="H116" s="15">
        <f t="shared" si="16"/>
        <v>46368</v>
      </c>
      <c r="I116" s="15">
        <f t="shared" si="17"/>
        <v>46392</v>
      </c>
      <c r="J116" s="15">
        <f t="shared" si="18"/>
        <v>46397</v>
      </c>
      <c r="K116" s="16" t="str">
        <f t="shared" ca="1" si="19"/>
        <v>🟢 В порядке</v>
      </c>
      <c r="L116" s="4"/>
    </row>
    <row r="117" spans="1:12" ht="21.95" customHeight="1" x14ac:dyDescent="0.3">
      <c r="A117" s="1">
        <v>113</v>
      </c>
      <c r="B117" s="2" t="s">
        <v>283</v>
      </c>
      <c r="C117" s="2" t="s">
        <v>286</v>
      </c>
      <c r="D117" s="2" t="s">
        <v>287</v>
      </c>
      <c r="E117" s="3" t="s">
        <v>17</v>
      </c>
      <c r="F117" s="39">
        <v>46400</v>
      </c>
      <c r="G117" s="13">
        <f t="shared" si="15"/>
        <v>46339</v>
      </c>
      <c r="H117" s="13">
        <f t="shared" si="16"/>
        <v>46369</v>
      </c>
      <c r="I117" s="13">
        <f t="shared" si="17"/>
        <v>46393</v>
      </c>
      <c r="J117" s="13">
        <f t="shared" si="18"/>
        <v>46398</v>
      </c>
      <c r="K117" s="14" t="str">
        <f t="shared" ca="1" si="19"/>
        <v>🟢 В порядке</v>
      </c>
      <c r="L117" s="1"/>
    </row>
    <row r="118" spans="1:12" ht="21.95" customHeight="1" x14ac:dyDescent="0.3">
      <c r="A118" s="4">
        <v>114</v>
      </c>
      <c r="B118" s="5" t="s">
        <v>288</v>
      </c>
      <c r="C118" s="5" t="s">
        <v>289</v>
      </c>
      <c r="D118" s="5" t="s">
        <v>290</v>
      </c>
      <c r="E118" s="6" t="s">
        <v>17</v>
      </c>
      <c r="F118" s="39">
        <v>46401</v>
      </c>
      <c r="G118" s="15">
        <f t="shared" si="15"/>
        <v>46340</v>
      </c>
      <c r="H118" s="15">
        <f t="shared" si="16"/>
        <v>46370</v>
      </c>
      <c r="I118" s="15">
        <f t="shared" si="17"/>
        <v>46394</v>
      </c>
      <c r="J118" s="15">
        <f t="shared" si="18"/>
        <v>46399</v>
      </c>
      <c r="K118" s="16" t="str">
        <f t="shared" ca="1" si="19"/>
        <v>🟢 В порядке</v>
      </c>
      <c r="L118" s="4"/>
    </row>
    <row r="119" spans="1:12" ht="21.95" customHeight="1" x14ac:dyDescent="0.3">
      <c r="A119" s="1">
        <v>115</v>
      </c>
      <c r="B119" s="2" t="s">
        <v>288</v>
      </c>
      <c r="C119" s="2" t="s">
        <v>291</v>
      </c>
      <c r="D119" s="2" t="s">
        <v>292</v>
      </c>
      <c r="E119" s="3" t="s">
        <v>17</v>
      </c>
      <c r="F119" s="39">
        <v>46402</v>
      </c>
      <c r="G119" s="13">
        <f t="shared" si="15"/>
        <v>46341</v>
      </c>
      <c r="H119" s="13">
        <f t="shared" si="16"/>
        <v>46371</v>
      </c>
      <c r="I119" s="13">
        <f t="shared" si="17"/>
        <v>46395</v>
      </c>
      <c r="J119" s="13">
        <f t="shared" si="18"/>
        <v>46400</v>
      </c>
      <c r="K119" s="14" t="str">
        <f t="shared" ca="1" si="19"/>
        <v>🟢 В порядке</v>
      </c>
      <c r="L119" s="1"/>
    </row>
    <row r="120" spans="1:12" ht="21.95" customHeight="1" x14ac:dyDescent="0.3">
      <c r="A120" s="4">
        <v>116</v>
      </c>
      <c r="B120" s="5" t="s">
        <v>293</v>
      </c>
      <c r="C120" s="5" t="s">
        <v>294</v>
      </c>
      <c r="D120" s="5" t="s">
        <v>295</v>
      </c>
      <c r="E120" s="6" t="s">
        <v>17</v>
      </c>
      <c r="F120" s="39">
        <v>46403</v>
      </c>
      <c r="G120" s="15">
        <f t="shared" si="15"/>
        <v>46342</v>
      </c>
      <c r="H120" s="15">
        <f t="shared" si="16"/>
        <v>46372</v>
      </c>
      <c r="I120" s="15">
        <f t="shared" si="17"/>
        <v>46396</v>
      </c>
      <c r="J120" s="15">
        <f t="shared" si="18"/>
        <v>46401</v>
      </c>
      <c r="K120" s="16" t="str">
        <f t="shared" ca="1" si="19"/>
        <v>🟢 В порядке</v>
      </c>
      <c r="L120" s="4"/>
    </row>
    <row r="121" spans="1:12" ht="21.95" customHeight="1" x14ac:dyDescent="0.3">
      <c r="A121" s="1">
        <v>117</v>
      </c>
      <c r="B121" s="2" t="s">
        <v>293</v>
      </c>
      <c r="C121" s="2" t="s">
        <v>296</v>
      </c>
      <c r="D121" s="2" t="s">
        <v>297</v>
      </c>
      <c r="E121" s="3" t="s">
        <v>17</v>
      </c>
      <c r="F121" s="39">
        <v>46404</v>
      </c>
      <c r="G121" s="13">
        <f t="shared" si="15"/>
        <v>46343</v>
      </c>
      <c r="H121" s="13">
        <f t="shared" si="16"/>
        <v>46373</v>
      </c>
      <c r="I121" s="13">
        <f t="shared" si="17"/>
        <v>46397</v>
      </c>
      <c r="J121" s="13">
        <f t="shared" si="18"/>
        <v>46402</v>
      </c>
      <c r="K121" s="14" t="str">
        <f t="shared" ca="1" si="19"/>
        <v>🟢 В порядке</v>
      </c>
      <c r="L121" s="1"/>
    </row>
    <row r="122" spans="1:12" ht="21.95" customHeight="1" x14ac:dyDescent="0.3">
      <c r="A122" s="4">
        <v>118</v>
      </c>
      <c r="B122" s="5" t="s">
        <v>298</v>
      </c>
      <c r="C122" s="5" t="s">
        <v>299</v>
      </c>
      <c r="D122" s="5" t="s">
        <v>300</v>
      </c>
      <c r="E122" s="6" t="s">
        <v>17</v>
      </c>
      <c r="F122" s="39">
        <v>46405</v>
      </c>
      <c r="G122" s="15">
        <f t="shared" si="15"/>
        <v>46344</v>
      </c>
      <c r="H122" s="15">
        <f t="shared" si="16"/>
        <v>46374</v>
      </c>
      <c r="I122" s="15">
        <f t="shared" si="17"/>
        <v>46398</v>
      </c>
      <c r="J122" s="15">
        <f t="shared" si="18"/>
        <v>46403</v>
      </c>
      <c r="K122" s="16" t="str">
        <f t="shared" ca="1" si="19"/>
        <v>🟢 В порядке</v>
      </c>
      <c r="L122" s="4"/>
    </row>
    <row r="123" spans="1:12" ht="21.95" customHeight="1" x14ac:dyDescent="0.3">
      <c r="A123" s="1">
        <v>119</v>
      </c>
      <c r="B123" s="2" t="s">
        <v>298</v>
      </c>
      <c r="C123" s="2" t="s">
        <v>301</v>
      </c>
      <c r="D123" s="2" t="s">
        <v>302</v>
      </c>
      <c r="E123" s="3" t="s">
        <v>17</v>
      </c>
      <c r="F123" s="39">
        <v>46406</v>
      </c>
      <c r="G123" s="13">
        <f t="shared" si="15"/>
        <v>46345</v>
      </c>
      <c r="H123" s="13">
        <f t="shared" si="16"/>
        <v>46375</v>
      </c>
      <c r="I123" s="13">
        <f t="shared" si="17"/>
        <v>46399</v>
      </c>
      <c r="J123" s="13">
        <f t="shared" si="18"/>
        <v>46404</v>
      </c>
      <c r="K123" s="14" t="str">
        <f t="shared" ca="1" si="19"/>
        <v>🟢 В порядке</v>
      </c>
      <c r="L123" s="1"/>
    </row>
    <row r="124" spans="1:12" ht="21.95" customHeight="1" x14ac:dyDescent="0.3">
      <c r="A124" s="4">
        <v>120</v>
      </c>
      <c r="B124" s="5" t="s">
        <v>298</v>
      </c>
      <c r="C124" s="5" t="s">
        <v>303</v>
      </c>
      <c r="D124" s="5" t="s">
        <v>304</v>
      </c>
      <c r="E124" s="6" t="s">
        <v>17</v>
      </c>
      <c r="F124" s="39">
        <v>46407</v>
      </c>
      <c r="G124" s="15">
        <f t="shared" si="15"/>
        <v>46346</v>
      </c>
      <c r="H124" s="15">
        <f t="shared" si="16"/>
        <v>46376</v>
      </c>
      <c r="I124" s="15">
        <f t="shared" si="17"/>
        <v>46400</v>
      </c>
      <c r="J124" s="15">
        <f t="shared" si="18"/>
        <v>46405</v>
      </c>
      <c r="K124" s="16" t="str">
        <f t="shared" ca="1" si="19"/>
        <v>🟢 В порядке</v>
      </c>
      <c r="L124" s="4"/>
    </row>
    <row r="125" spans="1:12" ht="21.95" customHeight="1" x14ac:dyDescent="0.3">
      <c r="A125" s="1">
        <v>121</v>
      </c>
      <c r="B125" s="2" t="s">
        <v>305</v>
      </c>
      <c r="C125" s="2" t="s">
        <v>306</v>
      </c>
      <c r="D125" s="2" t="s">
        <v>307</v>
      </c>
      <c r="E125" s="3" t="s">
        <v>17</v>
      </c>
      <c r="F125" s="39">
        <v>46408</v>
      </c>
      <c r="G125" s="13">
        <f t="shared" si="15"/>
        <v>46347</v>
      </c>
      <c r="H125" s="13">
        <f t="shared" si="16"/>
        <v>46377</v>
      </c>
      <c r="I125" s="13">
        <f t="shared" si="17"/>
        <v>46401</v>
      </c>
      <c r="J125" s="13">
        <f t="shared" si="18"/>
        <v>46406</v>
      </c>
      <c r="K125" s="14" t="str">
        <f t="shared" ca="1" si="19"/>
        <v>🟢 В порядке</v>
      </c>
      <c r="L125" s="1"/>
    </row>
    <row r="126" spans="1:12" ht="21.95" customHeight="1" x14ac:dyDescent="0.3">
      <c r="A126" s="4">
        <v>122</v>
      </c>
      <c r="B126" s="5" t="s">
        <v>305</v>
      </c>
      <c r="C126" s="5" t="s">
        <v>308</v>
      </c>
      <c r="D126" s="5" t="s">
        <v>309</v>
      </c>
      <c r="E126" s="6" t="s">
        <v>17</v>
      </c>
      <c r="F126" s="39">
        <v>46409</v>
      </c>
      <c r="G126" s="15">
        <f t="shared" si="15"/>
        <v>46348</v>
      </c>
      <c r="H126" s="15">
        <f t="shared" si="16"/>
        <v>46378</v>
      </c>
      <c r="I126" s="15">
        <f t="shared" si="17"/>
        <v>46402</v>
      </c>
      <c r="J126" s="15">
        <f t="shared" si="18"/>
        <v>46407</v>
      </c>
      <c r="K126" s="16" t="str">
        <f t="shared" ca="1" si="19"/>
        <v>🟢 В порядке</v>
      </c>
      <c r="L126" s="4"/>
    </row>
    <row r="127" spans="1:12" ht="21.95" customHeight="1" x14ac:dyDescent="0.3">
      <c r="A127" s="1">
        <v>123</v>
      </c>
      <c r="B127" s="2" t="s">
        <v>310</v>
      </c>
      <c r="C127" s="2" t="s">
        <v>311</v>
      </c>
      <c r="D127" s="2" t="s">
        <v>312</v>
      </c>
      <c r="E127" s="3" t="s">
        <v>17</v>
      </c>
      <c r="F127" s="39">
        <v>46410</v>
      </c>
      <c r="G127" s="13">
        <f t="shared" si="15"/>
        <v>46349</v>
      </c>
      <c r="H127" s="13">
        <f t="shared" si="16"/>
        <v>46379</v>
      </c>
      <c r="I127" s="13">
        <f t="shared" si="17"/>
        <v>46403</v>
      </c>
      <c r="J127" s="13">
        <f t="shared" si="18"/>
        <v>46408</v>
      </c>
      <c r="K127" s="14" t="str">
        <f t="shared" ca="1" si="19"/>
        <v>🟢 В порядке</v>
      </c>
      <c r="L127" s="1"/>
    </row>
    <row r="128" spans="1:12" ht="21.95" customHeight="1" x14ac:dyDescent="0.3">
      <c r="A128" s="4">
        <v>124</v>
      </c>
      <c r="B128" s="5" t="s">
        <v>310</v>
      </c>
      <c r="C128" s="5" t="s">
        <v>313</v>
      </c>
      <c r="D128" s="5" t="s">
        <v>314</v>
      </c>
      <c r="E128" s="6" t="s">
        <v>17</v>
      </c>
      <c r="F128" s="39">
        <v>46411</v>
      </c>
      <c r="G128" s="15">
        <f t="shared" si="15"/>
        <v>46350</v>
      </c>
      <c r="H128" s="15">
        <f t="shared" si="16"/>
        <v>46380</v>
      </c>
      <c r="I128" s="15">
        <f t="shared" si="17"/>
        <v>46404</v>
      </c>
      <c r="J128" s="15">
        <f t="shared" si="18"/>
        <v>46409</v>
      </c>
      <c r="K128" s="16" t="str">
        <f t="shared" ca="1" si="19"/>
        <v>🟢 В порядке</v>
      </c>
      <c r="L128" s="4"/>
    </row>
    <row r="129" spans="1:12" ht="21.95" customHeight="1" x14ac:dyDescent="0.3">
      <c r="A129" s="1">
        <v>125</v>
      </c>
      <c r="B129" s="2" t="s">
        <v>310</v>
      </c>
      <c r="C129" s="2" t="s">
        <v>315</v>
      </c>
      <c r="D129" s="2" t="s">
        <v>316</v>
      </c>
      <c r="E129" s="3" t="s">
        <v>17</v>
      </c>
      <c r="F129" s="39">
        <v>46412</v>
      </c>
      <c r="G129" s="13">
        <f t="shared" si="15"/>
        <v>46351</v>
      </c>
      <c r="H129" s="13">
        <f t="shared" si="16"/>
        <v>46381</v>
      </c>
      <c r="I129" s="13">
        <f t="shared" si="17"/>
        <v>46405</v>
      </c>
      <c r="J129" s="13">
        <f t="shared" si="18"/>
        <v>46410</v>
      </c>
      <c r="K129" s="14" t="str">
        <f t="shared" ca="1" si="19"/>
        <v>🟢 В порядке</v>
      </c>
      <c r="L129" s="1"/>
    </row>
    <row r="130" spans="1:12" ht="21.95" customHeight="1" x14ac:dyDescent="0.3">
      <c r="A130" s="4">
        <v>126</v>
      </c>
      <c r="B130" s="5" t="s">
        <v>317</v>
      </c>
      <c r="C130" s="5" t="s">
        <v>318</v>
      </c>
      <c r="D130" s="5" t="s">
        <v>319</v>
      </c>
      <c r="E130" s="6" t="s">
        <v>17</v>
      </c>
      <c r="F130" s="39">
        <v>46413</v>
      </c>
      <c r="G130" s="15">
        <f t="shared" si="15"/>
        <v>46352</v>
      </c>
      <c r="H130" s="15">
        <f t="shared" si="16"/>
        <v>46382</v>
      </c>
      <c r="I130" s="15">
        <f t="shared" si="17"/>
        <v>46406</v>
      </c>
      <c r="J130" s="15">
        <f t="shared" si="18"/>
        <v>46411</v>
      </c>
      <c r="K130" s="16" t="str">
        <f t="shared" ca="1" si="19"/>
        <v>🟢 В порядке</v>
      </c>
      <c r="L130" s="4"/>
    </row>
    <row r="131" spans="1:12" ht="21.95" customHeight="1" x14ac:dyDescent="0.3">
      <c r="A131" s="1">
        <v>127</v>
      </c>
      <c r="B131" s="2" t="s">
        <v>317</v>
      </c>
      <c r="C131" s="2" t="s">
        <v>320</v>
      </c>
      <c r="D131" s="2" t="s">
        <v>321</v>
      </c>
      <c r="E131" s="3" t="s">
        <v>17</v>
      </c>
      <c r="F131" s="39">
        <v>46414</v>
      </c>
      <c r="G131" s="13">
        <f t="shared" si="15"/>
        <v>46353</v>
      </c>
      <c r="H131" s="13">
        <f t="shared" si="16"/>
        <v>46383</v>
      </c>
      <c r="I131" s="13">
        <f t="shared" si="17"/>
        <v>46407</v>
      </c>
      <c r="J131" s="13">
        <f t="shared" si="18"/>
        <v>46412</v>
      </c>
      <c r="K131" s="14" t="str">
        <f t="shared" ca="1" si="19"/>
        <v>🟢 В порядке</v>
      </c>
      <c r="L131" s="1"/>
    </row>
    <row r="132" spans="1:12" ht="21.95" customHeight="1" x14ac:dyDescent="0.3">
      <c r="A132" s="4">
        <v>128</v>
      </c>
      <c r="B132" s="5" t="s">
        <v>317</v>
      </c>
      <c r="C132" s="5" t="s">
        <v>322</v>
      </c>
      <c r="D132" s="5" t="s">
        <v>323</v>
      </c>
      <c r="E132" s="6" t="s">
        <v>17</v>
      </c>
      <c r="F132" s="39">
        <v>46415</v>
      </c>
      <c r="G132" s="15">
        <f t="shared" si="15"/>
        <v>46354</v>
      </c>
      <c r="H132" s="15">
        <f t="shared" si="16"/>
        <v>46384</v>
      </c>
      <c r="I132" s="15">
        <f t="shared" si="17"/>
        <v>46408</v>
      </c>
      <c r="J132" s="15">
        <f t="shared" si="18"/>
        <v>46413</v>
      </c>
      <c r="K132" s="16" t="str">
        <f t="shared" ca="1" si="19"/>
        <v>🟢 В порядке</v>
      </c>
      <c r="L132" s="4"/>
    </row>
    <row r="133" spans="1:12" ht="21.95" customHeight="1" x14ac:dyDescent="0.3">
      <c r="A133" s="1">
        <v>129</v>
      </c>
      <c r="B133" s="2" t="s">
        <v>317</v>
      </c>
      <c r="C133" s="2" t="s">
        <v>324</v>
      </c>
      <c r="D133" s="2" t="s">
        <v>325</v>
      </c>
      <c r="E133" s="3" t="s">
        <v>17</v>
      </c>
      <c r="F133" s="39">
        <v>46416</v>
      </c>
      <c r="G133" s="13">
        <f t="shared" ref="G133:G164" si="20">IF(F133="","",DATE(YEAR(F133),MONTH(F133)-2,DAY(F133)))</f>
        <v>46355</v>
      </c>
      <c r="H133" s="13">
        <f t="shared" ref="H133:H164" si="21">IF(F133="","",DATE(YEAR(F133),MONTH(F133)-1,DAY(F133)))</f>
        <v>46385</v>
      </c>
      <c r="I133" s="13">
        <f t="shared" ref="I133:I164" si="22">IF(F133="","",F133-7)</f>
        <v>46409</v>
      </c>
      <c r="J133" s="13">
        <f t="shared" ref="J133:J164" si="23">IF(F133="","",F133-2)</f>
        <v>46414</v>
      </c>
      <c r="K133" s="14" t="str">
        <f t="shared" ref="K133:K164" ca="1" si="24">IF(F133="","❓ Не указана",IF(F133&lt;TODAY(),"🔴 Просрочена",IF(J133&lt;=TODAY(),"🔴 Просрочена скоро",IF(I133&lt;=TODAY(),"🟡 Скоро (-7 дн.)",IF(H133&lt;=TODAY(),"🟡 Скоро (-1 мес.)",IF(G133&lt;=TODAY(),"🟡 Скоро (-2 мес.)","🟢 В порядке"))))))</f>
        <v>🟢 В порядке</v>
      </c>
      <c r="L133" s="1"/>
    </row>
    <row r="134" spans="1:12" ht="21.95" customHeight="1" x14ac:dyDescent="0.3">
      <c r="A134" s="4">
        <v>130</v>
      </c>
      <c r="B134" s="5" t="s">
        <v>317</v>
      </c>
      <c r="C134" s="5" t="s">
        <v>326</v>
      </c>
      <c r="D134" s="5" t="s">
        <v>327</v>
      </c>
      <c r="E134" s="6" t="s">
        <v>17</v>
      </c>
      <c r="F134" s="39">
        <v>46417</v>
      </c>
      <c r="G134" s="15">
        <f t="shared" si="20"/>
        <v>46356</v>
      </c>
      <c r="H134" s="15">
        <f t="shared" si="21"/>
        <v>46386</v>
      </c>
      <c r="I134" s="15">
        <f t="shared" si="22"/>
        <v>46410</v>
      </c>
      <c r="J134" s="15">
        <f t="shared" si="23"/>
        <v>46415</v>
      </c>
      <c r="K134" s="16" t="str">
        <f t="shared" ca="1" si="24"/>
        <v>🟢 В порядке</v>
      </c>
      <c r="L134" s="4"/>
    </row>
    <row r="135" spans="1:12" ht="21.95" customHeight="1" x14ac:dyDescent="0.3">
      <c r="A135" s="1">
        <v>131</v>
      </c>
      <c r="B135" s="2" t="s">
        <v>317</v>
      </c>
      <c r="C135" s="2" t="s">
        <v>328</v>
      </c>
      <c r="D135" s="2" t="s">
        <v>329</v>
      </c>
      <c r="E135" s="3" t="s">
        <v>17</v>
      </c>
      <c r="F135" s="39">
        <v>46418</v>
      </c>
      <c r="G135" s="13">
        <f t="shared" si="20"/>
        <v>46357</v>
      </c>
      <c r="H135" s="13">
        <f t="shared" si="21"/>
        <v>46387</v>
      </c>
      <c r="I135" s="13">
        <f t="shared" si="22"/>
        <v>46411</v>
      </c>
      <c r="J135" s="13">
        <f t="shared" si="23"/>
        <v>46416</v>
      </c>
      <c r="K135" s="14" t="str">
        <f t="shared" ca="1" si="24"/>
        <v>🟢 В порядке</v>
      </c>
      <c r="L135" s="1"/>
    </row>
    <row r="136" spans="1:12" ht="21.95" customHeight="1" x14ac:dyDescent="0.3">
      <c r="A136" s="4">
        <v>132</v>
      </c>
      <c r="B136" s="5" t="s">
        <v>317</v>
      </c>
      <c r="C136" s="5" t="s">
        <v>330</v>
      </c>
      <c r="D136" s="5" t="s">
        <v>331</v>
      </c>
      <c r="E136" s="6" t="s">
        <v>17</v>
      </c>
      <c r="F136" s="39">
        <v>46419</v>
      </c>
      <c r="G136" s="15">
        <f t="shared" si="20"/>
        <v>46357</v>
      </c>
      <c r="H136" s="15">
        <f t="shared" si="21"/>
        <v>46388</v>
      </c>
      <c r="I136" s="15">
        <f t="shared" si="22"/>
        <v>46412</v>
      </c>
      <c r="J136" s="15">
        <f t="shared" si="23"/>
        <v>46417</v>
      </c>
      <c r="K136" s="16" t="str">
        <f t="shared" ca="1" si="24"/>
        <v>🟢 В порядке</v>
      </c>
      <c r="L136" s="4"/>
    </row>
    <row r="137" spans="1:12" ht="21.95" customHeight="1" x14ac:dyDescent="0.3">
      <c r="A137" s="1">
        <v>133</v>
      </c>
      <c r="B137" s="2" t="s">
        <v>317</v>
      </c>
      <c r="C137" s="2" t="s">
        <v>332</v>
      </c>
      <c r="D137" s="2" t="s">
        <v>333</v>
      </c>
      <c r="E137" s="3" t="s">
        <v>17</v>
      </c>
      <c r="F137" s="39">
        <v>46420</v>
      </c>
      <c r="G137" s="13">
        <f t="shared" si="20"/>
        <v>46358</v>
      </c>
      <c r="H137" s="13">
        <f t="shared" si="21"/>
        <v>46389</v>
      </c>
      <c r="I137" s="13">
        <f t="shared" si="22"/>
        <v>46413</v>
      </c>
      <c r="J137" s="13">
        <f t="shared" si="23"/>
        <v>46418</v>
      </c>
      <c r="K137" s="14" t="str">
        <f t="shared" ca="1" si="24"/>
        <v>🟢 В порядке</v>
      </c>
      <c r="L137" s="1"/>
    </row>
    <row r="138" spans="1:12" ht="21.95" customHeight="1" x14ac:dyDescent="0.3">
      <c r="A138" s="4">
        <v>134</v>
      </c>
      <c r="B138" s="5" t="s">
        <v>317</v>
      </c>
      <c r="C138" s="5" t="s">
        <v>334</v>
      </c>
      <c r="D138" s="5" t="s">
        <v>335</v>
      </c>
      <c r="E138" s="6" t="s">
        <v>17</v>
      </c>
      <c r="F138" s="39">
        <v>46421</v>
      </c>
      <c r="G138" s="15">
        <f t="shared" si="20"/>
        <v>46359</v>
      </c>
      <c r="H138" s="15">
        <f t="shared" si="21"/>
        <v>46390</v>
      </c>
      <c r="I138" s="15">
        <f t="shared" si="22"/>
        <v>46414</v>
      </c>
      <c r="J138" s="15">
        <f t="shared" si="23"/>
        <v>46419</v>
      </c>
      <c r="K138" s="16" t="str">
        <f t="shared" ca="1" si="24"/>
        <v>🟢 В порядке</v>
      </c>
      <c r="L138" s="4"/>
    </row>
    <row r="139" spans="1:12" ht="21.95" customHeight="1" x14ac:dyDescent="0.3">
      <c r="A139" s="1">
        <v>135</v>
      </c>
      <c r="B139" s="2" t="s">
        <v>317</v>
      </c>
      <c r="C139" s="2" t="s">
        <v>336</v>
      </c>
      <c r="D139" s="2" t="s">
        <v>337</v>
      </c>
      <c r="E139" s="3" t="s">
        <v>17</v>
      </c>
      <c r="F139" s="39">
        <v>46422</v>
      </c>
      <c r="G139" s="13">
        <f t="shared" si="20"/>
        <v>46360</v>
      </c>
      <c r="H139" s="13">
        <f t="shared" si="21"/>
        <v>46391</v>
      </c>
      <c r="I139" s="13">
        <f t="shared" si="22"/>
        <v>46415</v>
      </c>
      <c r="J139" s="13">
        <f t="shared" si="23"/>
        <v>46420</v>
      </c>
      <c r="K139" s="14" t="str">
        <f t="shared" ca="1" si="24"/>
        <v>🟢 В порядке</v>
      </c>
      <c r="L139" s="1"/>
    </row>
    <row r="140" spans="1:12" ht="21.95" customHeight="1" x14ac:dyDescent="0.3">
      <c r="A140" s="4">
        <v>136</v>
      </c>
      <c r="B140" s="5" t="s">
        <v>317</v>
      </c>
      <c r="C140" s="5" t="s">
        <v>338</v>
      </c>
      <c r="D140" s="5" t="s">
        <v>339</v>
      </c>
      <c r="E140" s="6" t="s">
        <v>17</v>
      </c>
      <c r="F140" s="39">
        <v>46423</v>
      </c>
      <c r="G140" s="15">
        <f t="shared" si="20"/>
        <v>46361</v>
      </c>
      <c r="H140" s="15">
        <f t="shared" si="21"/>
        <v>46392</v>
      </c>
      <c r="I140" s="15">
        <f t="shared" si="22"/>
        <v>46416</v>
      </c>
      <c r="J140" s="15">
        <f t="shared" si="23"/>
        <v>46421</v>
      </c>
      <c r="K140" s="16" t="str">
        <f t="shared" ca="1" si="24"/>
        <v>🟢 В порядке</v>
      </c>
      <c r="L140" s="4"/>
    </row>
    <row r="141" spans="1:12" ht="21.95" customHeight="1" x14ac:dyDescent="0.3">
      <c r="A141" s="1">
        <v>137</v>
      </c>
      <c r="B141" s="2" t="s">
        <v>317</v>
      </c>
      <c r="C141" s="2" t="s">
        <v>340</v>
      </c>
      <c r="D141" s="2" t="s">
        <v>341</v>
      </c>
      <c r="E141" s="3" t="s">
        <v>17</v>
      </c>
      <c r="F141" s="39">
        <v>46424</v>
      </c>
      <c r="G141" s="13">
        <f t="shared" si="20"/>
        <v>46362</v>
      </c>
      <c r="H141" s="13">
        <f t="shared" si="21"/>
        <v>46393</v>
      </c>
      <c r="I141" s="13">
        <f t="shared" si="22"/>
        <v>46417</v>
      </c>
      <c r="J141" s="13">
        <f t="shared" si="23"/>
        <v>46422</v>
      </c>
      <c r="K141" s="14" t="str">
        <f t="shared" ca="1" si="24"/>
        <v>🟢 В порядке</v>
      </c>
      <c r="L141" s="1"/>
    </row>
    <row r="142" spans="1:12" ht="21.95" customHeight="1" x14ac:dyDescent="0.3">
      <c r="A142" s="4">
        <v>138</v>
      </c>
      <c r="B142" s="5" t="s">
        <v>317</v>
      </c>
      <c r="C142" s="5" t="s">
        <v>342</v>
      </c>
      <c r="D142" s="5" t="s">
        <v>343</v>
      </c>
      <c r="E142" s="6" t="s">
        <v>17</v>
      </c>
      <c r="F142" s="39">
        <v>46425</v>
      </c>
      <c r="G142" s="15">
        <f t="shared" si="20"/>
        <v>46363</v>
      </c>
      <c r="H142" s="15">
        <f t="shared" si="21"/>
        <v>46394</v>
      </c>
      <c r="I142" s="15">
        <f t="shared" si="22"/>
        <v>46418</v>
      </c>
      <c r="J142" s="15">
        <f t="shared" si="23"/>
        <v>46423</v>
      </c>
      <c r="K142" s="16" t="str">
        <f t="shared" ca="1" si="24"/>
        <v>🟢 В порядке</v>
      </c>
      <c r="L142" s="4"/>
    </row>
    <row r="143" spans="1:12" ht="21.95" customHeight="1" x14ac:dyDescent="0.3">
      <c r="A143" s="1">
        <v>139</v>
      </c>
      <c r="B143" s="2" t="s">
        <v>317</v>
      </c>
      <c r="C143" s="2" t="s">
        <v>344</v>
      </c>
      <c r="D143" s="2" t="s">
        <v>345</v>
      </c>
      <c r="E143" s="3" t="s">
        <v>17</v>
      </c>
      <c r="F143" s="39">
        <v>46426</v>
      </c>
      <c r="G143" s="13">
        <f t="shared" si="20"/>
        <v>46364</v>
      </c>
      <c r="H143" s="13">
        <f t="shared" si="21"/>
        <v>46395</v>
      </c>
      <c r="I143" s="13">
        <f t="shared" si="22"/>
        <v>46419</v>
      </c>
      <c r="J143" s="13">
        <f t="shared" si="23"/>
        <v>46424</v>
      </c>
      <c r="K143" s="14" t="str">
        <f t="shared" ca="1" si="24"/>
        <v>🟢 В порядке</v>
      </c>
      <c r="L143" s="1"/>
    </row>
    <row r="144" spans="1:12" ht="21.95" customHeight="1" x14ac:dyDescent="0.3">
      <c r="A144" s="4">
        <v>140</v>
      </c>
      <c r="B144" s="5" t="s">
        <v>317</v>
      </c>
      <c r="C144" s="5" t="s">
        <v>346</v>
      </c>
      <c r="D144" s="5" t="s">
        <v>347</v>
      </c>
      <c r="E144" s="6" t="s">
        <v>17</v>
      </c>
      <c r="F144" s="39">
        <v>46427</v>
      </c>
      <c r="G144" s="15">
        <f t="shared" si="20"/>
        <v>46365</v>
      </c>
      <c r="H144" s="15">
        <f t="shared" si="21"/>
        <v>46396</v>
      </c>
      <c r="I144" s="15">
        <f t="shared" si="22"/>
        <v>46420</v>
      </c>
      <c r="J144" s="15">
        <f t="shared" si="23"/>
        <v>46425</v>
      </c>
      <c r="K144" s="16" t="str">
        <f t="shared" ca="1" si="24"/>
        <v>🟢 В порядке</v>
      </c>
      <c r="L144" s="4"/>
    </row>
    <row r="145" spans="1:12" ht="21.95" customHeight="1" x14ac:dyDescent="0.3">
      <c r="A145" s="1">
        <v>141</v>
      </c>
      <c r="B145" s="2" t="s">
        <v>317</v>
      </c>
      <c r="C145" s="2" t="s">
        <v>348</v>
      </c>
      <c r="D145" s="2" t="s">
        <v>349</v>
      </c>
      <c r="E145" s="3" t="s">
        <v>17</v>
      </c>
      <c r="F145" s="39">
        <v>46428</v>
      </c>
      <c r="G145" s="13">
        <f t="shared" si="20"/>
        <v>46366</v>
      </c>
      <c r="H145" s="13">
        <f t="shared" si="21"/>
        <v>46397</v>
      </c>
      <c r="I145" s="13">
        <f t="shared" si="22"/>
        <v>46421</v>
      </c>
      <c r="J145" s="13">
        <f t="shared" si="23"/>
        <v>46426</v>
      </c>
      <c r="K145" s="14" t="str">
        <f t="shared" ca="1" si="24"/>
        <v>🟢 В порядке</v>
      </c>
      <c r="L145" s="1"/>
    </row>
    <row r="146" spans="1:12" ht="21.95" customHeight="1" x14ac:dyDescent="0.3">
      <c r="A146" s="4">
        <v>142</v>
      </c>
      <c r="B146" s="5" t="s">
        <v>317</v>
      </c>
      <c r="C146" s="5" t="s">
        <v>350</v>
      </c>
      <c r="D146" s="5" t="s">
        <v>351</v>
      </c>
      <c r="E146" s="6" t="s">
        <v>17</v>
      </c>
      <c r="F146" s="39">
        <v>46429</v>
      </c>
      <c r="G146" s="15">
        <f t="shared" si="20"/>
        <v>46367</v>
      </c>
      <c r="H146" s="15">
        <f t="shared" si="21"/>
        <v>46398</v>
      </c>
      <c r="I146" s="15">
        <f t="shared" si="22"/>
        <v>46422</v>
      </c>
      <c r="J146" s="15">
        <f t="shared" si="23"/>
        <v>46427</v>
      </c>
      <c r="K146" s="16" t="str">
        <f t="shared" ca="1" si="24"/>
        <v>🟢 В порядке</v>
      </c>
      <c r="L146" s="4"/>
    </row>
    <row r="147" spans="1:12" ht="21.95" customHeight="1" x14ac:dyDescent="0.3">
      <c r="A147" s="1">
        <v>143</v>
      </c>
      <c r="B147" s="2" t="s">
        <v>317</v>
      </c>
      <c r="C147" s="2" t="s">
        <v>352</v>
      </c>
      <c r="D147" s="2" t="s">
        <v>353</v>
      </c>
      <c r="E147" s="3" t="s">
        <v>17</v>
      </c>
      <c r="F147" s="39">
        <v>46430</v>
      </c>
      <c r="G147" s="13">
        <f t="shared" si="20"/>
        <v>46368</v>
      </c>
      <c r="H147" s="13">
        <f t="shared" si="21"/>
        <v>46399</v>
      </c>
      <c r="I147" s="13">
        <f t="shared" si="22"/>
        <v>46423</v>
      </c>
      <c r="J147" s="13">
        <f t="shared" si="23"/>
        <v>46428</v>
      </c>
      <c r="K147" s="14" t="str">
        <f t="shared" ca="1" si="24"/>
        <v>🟢 В порядке</v>
      </c>
      <c r="L147" s="1"/>
    </row>
    <row r="148" spans="1:12" ht="21.95" customHeight="1" x14ac:dyDescent="0.3">
      <c r="A148" s="4">
        <v>144</v>
      </c>
      <c r="B148" s="5" t="s">
        <v>317</v>
      </c>
      <c r="C148" s="5" t="s">
        <v>354</v>
      </c>
      <c r="D148" s="5" t="s">
        <v>355</v>
      </c>
      <c r="E148" s="6" t="s">
        <v>17</v>
      </c>
      <c r="F148" s="39">
        <v>46431</v>
      </c>
      <c r="G148" s="15">
        <f t="shared" si="20"/>
        <v>46369</v>
      </c>
      <c r="H148" s="15">
        <f t="shared" si="21"/>
        <v>46400</v>
      </c>
      <c r="I148" s="15">
        <f t="shared" si="22"/>
        <v>46424</v>
      </c>
      <c r="J148" s="15">
        <f t="shared" si="23"/>
        <v>46429</v>
      </c>
      <c r="K148" s="16" t="str">
        <f t="shared" ca="1" si="24"/>
        <v>🟢 В порядке</v>
      </c>
      <c r="L148" s="4"/>
    </row>
    <row r="149" spans="1:12" ht="21.95" customHeight="1" x14ac:dyDescent="0.3">
      <c r="A149" s="1">
        <v>145</v>
      </c>
      <c r="B149" s="2" t="s">
        <v>317</v>
      </c>
      <c r="C149" s="2" t="s">
        <v>356</v>
      </c>
      <c r="D149" s="2" t="s">
        <v>357</v>
      </c>
      <c r="E149" s="3" t="s">
        <v>17</v>
      </c>
      <c r="F149" s="39">
        <v>46432</v>
      </c>
      <c r="G149" s="13">
        <f t="shared" si="20"/>
        <v>46370</v>
      </c>
      <c r="H149" s="13">
        <f t="shared" si="21"/>
        <v>46401</v>
      </c>
      <c r="I149" s="13">
        <f t="shared" si="22"/>
        <v>46425</v>
      </c>
      <c r="J149" s="13">
        <f t="shared" si="23"/>
        <v>46430</v>
      </c>
      <c r="K149" s="14" t="str">
        <f t="shared" ca="1" si="24"/>
        <v>🟢 В порядке</v>
      </c>
      <c r="L149" s="1"/>
    </row>
    <row r="150" spans="1:12" ht="21.95" customHeight="1" x14ac:dyDescent="0.3">
      <c r="A150" s="4">
        <v>146</v>
      </c>
      <c r="B150" s="5" t="s">
        <v>317</v>
      </c>
      <c r="C150" s="5" t="s">
        <v>358</v>
      </c>
      <c r="D150" s="5" t="s">
        <v>359</v>
      </c>
      <c r="E150" s="6" t="s">
        <v>17</v>
      </c>
      <c r="F150" s="39">
        <v>46433</v>
      </c>
      <c r="G150" s="15">
        <f t="shared" si="20"/>
        <v>46371</v>
      </c>
      <c r="H150" s="15">
        <f t="shared" si="21"/>
        <v>46402</v>
      </c>
      <c r="I150" s="15">
        <f t="shared" si="22"/>
        <v>46426</v>
      </c>
      <c r="J150" s="15">
        <f t="shared" si="23"/>
        <v>46431</v>
      </c>
      <c r="K150" s="16" t="str">
        <f t="shared" ca="1" si="24"/>
        <v>🟢 В порядке</v>
      </c>
      <c r="L150" s="4"/>
    </row>
    <row r="151" spans="1:12" ht="21.95" customHeight="1" x14ac:dyDescent="0.3">
      <c r="A151" s="1">
        <v>147</v>
      </c>
      <c r="B151" s="2" t="s">
        <v>317</v>
      </c>
      <c r="C151" s="2" t="s">
        <v>360</v>
      </c>
      <c r="D151" s="2" t="s">
        <v>361</v>
      </c>
      <c r="E151" s="3" t="s">
        <v>17</v>
      </c>
      <c r="F151" s="39">
        <v>46434</v>
      </c>
      <c r="G151" s="13">
        <f t="shared" si="20"/>
        <v>46372</v>
      </c>
      <c r="H151" s="13">
        <f t="shared" si="21"/>
        <v>46403</v>
      </c>
      <c r="I151" s="13">
        <f t="shared" si="22"/>
        <v>46427</v>
      </c>
      <c r="J151" s="13">
        <f t="shared" si="23"/>
        <v>46432</v>
      </c>
      <c r="K151" s="14" t="str">
        <f t="shared" ca="1" si="24"/>
        <v>🟢 В порядке</v>
      </c>
      <c r="L151" s="1"/>
    </row>
    <row r="152" spans="1:12" ht="21.95" customHeight="1" x14ac:dyDescent="0.3">
      <c r="A152" s="4">
        <v>148</v>
      </c>
      <c r="B152" s="5" t="s">
        <v>317</v>
      </c>
      <c r="C152" s="5" t="s">
        <v>362</v>
      </c>
      <c r="D152" s="5" t="s">
        <v>363</v>
      </c>
      <c r="E152" s="6" t="s">
        <v>17</v>
      </c>
      <c r="F152" s="39">
        <v>46435</v>
      </c>
      <c r="G152" s="15">
        <f t="shared" si="20"/>
        <v>46373</v>
      </c>
      <c r="H152" s="15">
        <f t="shared" si="21"/>
        <v>46404</v>
      </c>
      <c r="I152" s="15">
        <f t="shared" si="22"/>
        <v>46428</v>
      </c>
      <c r="J152" s="15">
        <f t="shared" si="23"/>
        <v>46433</v>
      </c>
      <c r="K152" s="16" t="str">
        <f t="shared" ca="1" si="24"/>
        <v>🟢 В порядке</v>
      </c>
      <c r="L152" s="4"/>
    </row>
    <row r="153" spans="1:12" ht="21.95" customHeight="1" x14ac:dyDescent="0.3">
      <c r="A153" s="1">
        <v>149</v>
      </c>
      <c r="B153" s="2" t="s">
        <v>317</v>
      </c>
      <c r="C153" s="2" t="s">
        <v>364</v>
      </c>
      <c r="D153" s="2" t="s">
        <v>365</v>
      </c>
      <c r="E153" s="3" t="s">
        <v>17</v>
      </c>
      <c r="F153" s="39">
        <v>46436</v>
      </c>
      <c r="G153" s="13">
        <f t="shared" si="20"/>
        <v>46374</v>
      </c>
      <c r="H153" s="13">
        <f t="shared" si="21"/>
        <v>46405</v>
      </c>
      <c r="I153" s="13">
        <f t="shared" si="22"/>
        <v>46429</v>
      </c>
      <c r="J153" s="13">
        <f t="shared" si="23"/>
        <v>46434</v>
      </c>
      <c r="K153" s="14" t="str">
        <f t="shared" ca="1" si="24"/>
        <v>🟢 В порядке</v>
      </c>
      <c r="L153" s="1"/>
    </row>
    <row r="154" spans="1:12" ht="21.95" customHeight="1" x14ac:dyDescent="0.3">
      <c r="A154" s="4">
        <v>150</v>
      </c>
      <c r="B154" s="5" t="s">
        <v>317</v>
      </c>
      <c r="C154" s="5" t="s">
        <v>366</v>
      </c>
      <c r="D154" s="5" t="s">
        <v>367</v>
      </c>
      <c r="E154" s="6" t="s">
        <v>17</v>
      </c>
      <c r="F154" s="39">
        <v>46437</v>
      </c>
      <c r="G154" s="15">
        <f t="shared" si="20"/>
        <v>46375</v>
      </c>
      <c r="H154" s="15">
        <f t="shared" si="21"/>
        <v>46406</v>
      </c>
      <c r="I154" s="15">
        <f t="shared" si="22"/>
        <v>46430</v>
      </c>
      <c r="J154" s="15">
        <f t="shared" si="23"/>
        <v>46435</v>
      </c>
      <c r="K154" s="16" t="str">
        <f t="shared" ca="1" si="24"/>
        <v>🟢 В порядке</v>
      </c>
      <c r="L154" s="4"/>
    </row>
    <row r="155" spans="1:12" ht="21.95" customHeight="1" x14ac:dyDescent="0.3">
      <c r="A155" s="1">
        <v>151</v>
      </c>
      <c r="B155" s="2" t="s">
        <v>317</v>
      </c>
      <c r="C155" s="2" t="s">
        <v>368</v>
      </c>
      <c r="D155" s="2" t="s">
        <v>369</v>
      </c>
      <c r="E155" s="3" t="s">
        <v>17</v>
      </c>
      <c r="F155" s="39">
        <v>46438</v>
      </c>
      <c r="G155" s="13">
        <f t="shared" si="20"/>
        <v>46376</v>
      </c>
      <c r="H155" s="13">
        <f t="shared" si="21"/>
        <v>46407</v>
      </c>
      <c r="I155" s="13">
        <f t="shared" si="22"/>
        <v>46431</v>
      </c>
      <c r="J155" s="13">
        <f t="shared" si="23"/>
        <v>46436</v>
      </c>
      <c r="K155" s="14" t="str">
        <f t="shared" ca="1" si="24"/>
        <v>🟢 В порядке</v>
      </c>
      <c r="L155" s="1"/>
    </row>
    <row r="156" spans="1:12" ht="21.95" customHeight="1" x14ac:dyDescent="0.3">
      <c r="A156" s="4">
        <v>152</v>
      </c>
      <c r="B156" s="5" t="s">
        <v>317</v>
      </c>
      <c r="C156" s="5" t="s">
        <v>370</v>
      </c>
      <c r="D156" s="5" t="s">
        <v>371</v>
      </c>
      <c r="E156" s="6" t="s">
        <v>17</v>
      </c>
      <c r="F156" s="39">
        <v>46439</v>
      </c>
      <c r="G156" s="15">
        <f t="shared" si="20"/>
        <v>46377</v>
      </c>
      <c r="H156" s="15">
        <f t="shared" si="21"/>
        <v>46408</v>
      </c>
      <c r="I156" s="15">
        <f t="shared" si="22"/>
        <v>46432</v>
      </c>
      <c r="J156" s="15">
        <f t="shared" si="23"/>
        <v>46437</v>
      </c>
      <c r="K156" s="16" t="str">
        <f t="shared" ca="1" si="24"/>
        <v>🟢 В порядке</v>
      </c>
      <c r="L156" s="4"/>
    </row>
    <row r="157" spans="1:12" ht="21.95" customHeight="1" x14ac:dyDescent="0.3">
      <c r="A157" s="1">
        <v>153</v>
      </c>
      <c r="B157" s="2" t="s">
        <v>317</v>
      </c>
      <c r="C157" s="2" t="s">
        <v>372</v>
      </c>
      <c r="D157" s="2" t="s">
        <v>373</v>
      </c>
      <c r="E157" s="3" t="s">
        <v>17</v>
      </c>
      <c r="F157" s="39">
        <v>46440</v>
      </c>
      <c r="G157" s="13">
        <f t="shared" si="20"/>
        <v>46378</v>
      </c>
      <c r="H157" s="13">
        <f t="shared" si="21"/>
        <v>46409</v>
      </c>
      <c r="I157" s="13">
        <f t="shared" si="22"/>
        <v>46433</v>
      </c>
      <c r="J157" s="13">
        <f t="shared" si="23"/>
        <v>46438</v>
      </c>
      <c r="K157" s="14" t="str">
        <f t="shared" ca="1" si="24"/>
        <v>🟢 В порядке</v>
      </c>
      <c r="L157" s="1"/>
    </row>
    <row r="158" spans="1:12" ht="21.95" customHeight="1" x14ac:dyDescent="0.3">
      <c r="A158" s="4">
        <v>154</v>
      </c>
      <c r="B158" s="5" t="s">
        <v>317</v>
      </c>
      <c r="C158" s="5" t="s">
        <v>374</v>
      </c>
      <c r="D158" s="5" t="s">
        <v>375</v>
      </c>
      <c r="E158" s="6" t="s">
        <v>17</v>
      </c>
      <c r="F158" s="39">
        <v>46441</v>
      </c>
      <c r="G158" s="15">
        <f t="shared" si="20"/>
        <v>46379</v>
      </c>
      <c r="H158" s="15">
        <f t="shared" si="21"/>
        <v>46410</v>
      </c>
      <c r="I158" s="15">
        <f t="shared" si="22"/>
        <v>46434</v>
      </c>
      <c r="J158" s="15">
        <f t="shared" si="23"/>
        <v>46439</v>
      </c>
      <c r="K158" s="16" t="str">
        <f t="shared" ca="1" si="24"/>
        <v>🟢 В порядке</v>
      </c>
      <c r="L158" s="4"/>
    </row>
    <row r="159" spans="1:12" ht="21.95" customHeight="1" x14ac:dyDescent="0.3">
      <c r="A159" s="1">
        <v>155</v>
      </c>
      <c r="B159" s="2" t="s">
        <v>317</v>
      </c>
      <c r="C159" s="2" t="s">
        <v>376</v>
      </c>
      <c r="D159" s="2" t="s">
        <v>377</v>
      </c>
      <c r="E159" s="3" t="s">
        <v>17</v>
      </c>
      <c r="F159" s="39">
        <v>46442</v>
      </c>
      <c r="G159" s="13">
        <f t="shared" si="20"/>
        <v>46380</v>
      </c>
      <c r="H159" s="13">
        <f t="shared" si="21"/>
        <v>46411</v>
      </c>
      <c r="I159" s="13">
        <f t="shared" si="22"/>
        <v>46435</v>
      </c>
      <c r="J159" s="13">
        <f t="shared" si="23"/>
        <v>46440</v>
      </c>
      <c r="K159" s="14" t="str">
        <f t="shared" ca="1" si="24"/>
        <v>🟢 В порядке</v>
      </c>
      <c r="L159" s="1"/>
    </row>
    <row r="160" spans="1:12" ht="21.95" customHeight="1" x14ac:dyDescent="0.3">
      <c r="A160" s="4">
        <v>156</v>
      </c>
      <c r="B160" s="5" t="s">
        <v>317</v>
      </c>
      <c r="C160" s="5" t="s">
        <v>378</v>
      </c>
      <c r="D160" s="5" t="s">
        <v>379</v>
      </c>
      <c r="E160" s="6" t="s">
        <v>17</v>
      </c>
      <c r="F160" s="39">
        <v>46443</v>
      </c>
      <c r="G160" s="15">
        <f t="shared" si="20"/>
        <v>46381</v>
      </c>
      <c r="H160" s="15">
        <f t="shared" si="21"/>
        <v>46412</v>
      </c>
      <c r="I160" s="15">
        <f t="shared" si="22"/>
        <v>46436</v>
      </c>
      <c r="J160" s="15">
        <f t="shared" si="23"/>
        <v>46441</v>
      </c>
      <c r="K160" s="16" t="str">
        <f t="shared" ca="1" si="24"/>
        <v>🟢 В порядке</v>
      </c>
      <c r="L160" s="4"/>
    </row>
    <row r="161" spans="1:12" ht="21.95" customHeight="1" x14ac:dyDescent="0.3">
      <c r="A161" s="1">
        <v>157</v>
      </c>
      <c r="B161" s="2" t="s">
        <v>317</v>
      </c>
      <c r="C161" s="2" t="s">
        <v>380</v>
      </c>
      <c r="D161" s="2" t="s">
        <v>381</v>
      </c>
      <c r="E161" s="3" t="s">
        <v>17</v>
      </c>
      <c r="F161" s="39">
        <v>46444</v>
      </c>
      <c r="G161" s="13">
        <f t="shared" si="20"/>
        <v>46382</v>
      </c>
      <c r="H161" s="13">
        <f t="shared" si="21"/>
        <v>46413</v>
      </c>
      <c r="I161" s="13">
        <f t="shared" si="22"/>
        <v>46437</v>
      </c>
      <c r="J161" s="13">
        <f t="shared" si="23"/>
        <v>46442</v>
      </c>
      <c r="K161" s="14" t="str">
        <f t="shared" ca="1" si="24"/>
        <v>🟢 В порядке</v>
      </c>
      <c r="L161" s="1"/>
    </row>
    <row r="162" spans="1:12" ht="21.95" customHeight="1" x14ac:dyDescent="0.3">
      <c r="A162" s="4">
        <v>158</v>
      </c>
      <c r="B162" s="5" t="s">
        <v>317</v>
      </c>
      <c r="C162" s="5" t="s">
        <v>382</v>
      </c>
      <c r="D162" s="5" t="s">
        <v>383</v>
      </c>
      <c r="E162" s="6" t="s">
        <v>17</v>
      </c>
      <c r="F162" s="39">
        <v>46445</v>
      </c>
      <c r="G162" s="15">
        <f t="shared" si="20"/>
        <v>46383</v>
      </c>
      <c r="H162" s="15">
        <f t="shared" si="21"/>
        <v>46414</v>
      </c>
      <c r="I162" s="15">
        <f t="shared" si="22"/>
        <v>46438</v>
      </c>
      <c r="J162" s="15">
        <f t="shared" si="23"/>
        <v>46443</v>
      </c>
      <c r="K162" s="16" t="str">
        <f t="shared" ca="1" si="24"/>
        <v>🟢 В порядке</v>
      </c>
      <c r="L162" s="4"/>
    </row>
    <row r="163" spans="1:12" ht="21.95" customHeight="1" x14ac:dyDescent="0.3">
      <c r="A163" s="1">
        <v>159</v>
      </c>
      <c r="B163" s="2" t="s">
        <v>317</v>
      </c>
      <c r="C163" s="2" t="s">
        <v>384</v>
      </c>
      <c r="D163" s="2" t="s">
        <v>385</v>
      </c>
      <c r="E163" s="3" t="s">
        <v>17</v>
      </c>
      <c r="F163" s="39">
        <v>46446</v>
      </c>
      <c r="G163" s="13">
        <f t="shared" si="20"/>
        <v>46384</v>
      </c>
      <c r="H163" s="13">
        <f t="shared" si="21"/>
        <v>46415</v>
      </c>
      <c r="I163" s="13">
        <f t="shared" si="22"/>
        <v>46439</v>
      </c>
      <c r="J163" s="13">
        <f t="shared" si="23"/>
        <v>46444</v>
      </c>
      <c r="K163" s="14" t="str">
        <f t="shared" ca="1" si="24"/>
        <v>🟢 В порядке</v>
      </c>
      <c r="L163" s="1"/>
    </row>
    <row r="164" spans="1:12" ht="21.95" customHeight="1" x14ac:dyDescent="0.3">
      <c r="A164" s="4">
        <v>160</v>
      </c>
      <c r="B164" s="5" t="s">
        <v>317</v>
      </c>
      <c r="C164" s="5" t="s">
        <v>386</v>
      </c>
      <c r="D164" s="5" t="s">
        <v>387</v>
      </c>
      <c r="E164" s="6" t="s">
        <v>17</v>
      </c>
      <c r="F164" s="39">
        <v>46447</v>
      </c>
      <c r="G164" s="15">
        <f t="shared" si="20"/>
        <v>46388</v>
      </c>
      <c r="H164" s="15">
        <f t="shared" si="21"/>
        <v>46419</v>
      </c>
      <c r="I164" s="15">
        <f t="shared" si="22"/>
        <v>46440</v>
      </c>
      <c r="J164" s="15">
        <f t="shared" si="23"/>
        <v>46445</v>
      </c>
      <c r="K164" s="16" t="str">
        <f t="shared" ca="1" si="24"/>
        <v>🟢 В порядке</v>
      </c>
      <c r="L164" s="4"/>
    </row>
    <row r="165" spans="1:12" ht="21.95" customHeight="1" x14ac:dyDescent="0.3">
      <c r="A165" s="1">
        <v>161</v>
      </c>
      <c r="B165" s="2" t="s">
        <v>317</v>
      </c>
      <c r="C165" s="2" t="s">
        <v>388</v>
      </c>
      <c r="D165" s="2" t="s">
        <v>389</v>
      </c>
      <c r="E165" s="3" t="s">
        <v>17</v>
      </c>
      <c r="F165" s="39">
        <v>46448</v>
      </c>
      <c r="G165" s="13">
        <f t="shared" ref="G165:G196" si="25">IF(F165="","",DATE(YEAR(F165),MONTH(F165)-2,DAY(F165)))</f>
        <v>46389</v>
      </c>
      <c r="H165" s="13">
        <f t="shared" ref="H165:H191" si="26">IF(F165="","",DATE(YEAR(F165),MONTH(F165)-1,DAY(F165)))</f>
        <v>46420</v>
      </c>
      <c r="I165" s="13">
        <f t="shared" ref="I165:I191" si="27">IF(F165="","",F165-7)</f>
        <v>46441</v>
      </c>
      <c r="J165" s="13">
        <f t="shared" ref="J165:J191" si="28">IF(F165="","",F165-2)</f>
        <v>46446</v>
      </c>
      <c r="K165" s="14" t="str">
        <f t="shared" ref="K165:K196" ca="1" si="29">IF(F165="","❓ Не указана",IF(F165&lt;TODAY(),"🔴 Просрочена",IF(J165&lt;=TODAY(),"🔴 Просрочена скоро",IF(I165&lt;=TODAY(),"🟡 Скоро (-7 дн.)",IF(H165&lt;=TODAY(),"🟡 Скоро (-1 мес.)",IF(G165&lt;=TODAY(),"🟡 Скоро (-2 мес.)","🟢 В порядке"))))))</f>
        <v>🟢 В порядке</v>
      </c>
      <c r="L165" s="1"/>
    </row>
    <row r="166" spans="1:12" ht="21.95" customHeight="1" x14ac:dyDescent="0.3">
      <c r="A166" s="4">
        <v>162</v>
      </c>
      <c r="B166" s="5" t="s">
        <v>317</v>
      </c>
      <c r="C166" s="5" t="s">
        <v>390</v>
      </c>
      <c r="D166" s="5" t="s">
        <v>391</v>
      </c>
      <c r="E166" s="6" t="s">
        <v>17</v>
      </c>
      <c r="F166" s="39">
        <v>46449</v>
      </c>
      <c r="G166" s="15">
        <f t="shared" si="25"/>
        <v>46390</v>
      </c>
      <c r="H166" s="15">
        <f t="shared" si="26"/>
        <v>46421</v>
      </c>
      <c r="I166" s="15">
        <f t="shared" si="27"/>
        <v>46442</v>
      </c>
      <c r="J166" s="15">
        <f t="shared" si="28"/>
        <v>46447</v>
      </c>
      <c r="K166" s="16" t="str">
        <f t="shared" ca="1" si="29"/>
        <v>🟢 В порядке</v>
      </c>
      <c r="L166" s="4"/>
    </row>
    <row r="167" spans="1:12" ht="21.95" customHeight="1" x14ac:dyDescent="0.3">
      <c r="A167" s="1">
        <v>163</v>
      </c>
      <c r="B167" s="2" t="s">
        <v>317</v>
      </c>
      <c r="C167" s="2" t="s">
        <v>392</v>
      </c>
      <c r="D167" s="2" t="s">
        <v>393</v>
      </c>
      <c r="E167" s="3" t="s">
        <v>17</v>
      </c>
      <c r="F167" s="39">
        <v>46450</v>
      </c>
      <c r="G167" s="13">
        <f t="shared" si="25"/>
        <v>46391</v>
      </c>
      <c r="H167" s="13">
        <f t="shared" si="26"/>
        <v>46422</v>
      </c>
      <c r="I167" s="13">
        <f t="shared" si="27"/>
        <v>46443</v>
      </c>
      <c r="J167" s="13">
        <f t="shared" si="28"/>
        <v>46448</v>
      </c>
      <c r="K167" s="14" t="str">
        <f t="shared" ca="1" si="29"/>
        <v>🟢 В порядке</v>
      </c>
      <c r="L167" s="1"/>
    </row>
    <row r="168" spans="1:12" ht="21.95" customHeight="1" x14ac:dyDescent="0.3">
      <c r="A168" s="4">
        <v>164</v>
      </c>
      <c r="B168" s="5" t="s">
        <v>317</v>
      </c>
      <c r="C168" s="5" t="s">
        <v>394</v>
      </c>
      <c r="D168" s="5" t="s">
        <v>395</v>
      </c>
      <c r="E168" s="6" t="s">
        <v>17</v>
      </c>
      <c r="F168" s="39">
        <v>46451</v>
      </c>
      <c r="G168" s="15">
        <f t="shared" si="25"/>
        <v>46392</v>
      </c>
      <c r="H168" s="15">
        <f t="shared" si="26"/>
        <v>46423</v>
      </c>
      <c r="I168" s="15">
        <f t="shared" si="27"/>
        <v>46444</v>
      </c>
      <c r="J168" s="15">
        <f t="shared" si="28"/>
        <v>46449</v>
      </c>
      <c r="K168" s="16" t="str">
        <f t="shared" ca="1" si="29"/>
        <v>🟢 В порядке</v>
      </c>
      <c r="L168" s="4"/>
    </row>
    <row r="169" spans="1:12" ht="21.95" customHeight="1" x14ac:dyDescent="0.3">
      <c r="A169" s="1">
        <v>165</v>
      </c>
      <c r="B169" s="2" t="s">
        <v>317</v>
      </c>
      <c r="C169" s="2" t="s">
        <v>396</v>
      </c>
      <c r="D169" s="2" t="s">
        <v>397</v>
      </c>
      <c r="E169" s="3" t="s">
        <v>17</v>
      </c>
      <c r="F169" s="39">
        <v>46452</v>
      </c>
      <c r="G169" s="13">
        <f t="shared" si="25"/>
        <v>46393</v>
      </c>
      <c r="H169" s="13">
        <f t="shared" si="26"/>
        <v>46424</v>
      </c>
      <c r="I169" s="13">
        <f t="shared" si="27"/>
        <v>46445</v>
      </c>
      <c r="J169" s="13">
        <f t="shared" si="28"/>
        <v>46450</v>
      </c>
      <c r="K169" s="14" t="str">
        <f t="shared" ca="1" si="29"/>
        <v>🟢 В порядке</v>
      </c>
      <c r="L169" s="1"/>
    </row>
    <row r="170" spans="1:12" ht="21.95" customHeight="1" x14ac:dyDescent="0.3">
      <c r="A170" s="4">
        <v>166</v>
      </c>
      <c r="B170" s="5" t="s">
        <v>317</v>
      </c>
      <c r="C170" s="5" t="s">
        <v>398</v>
      </c>
      <c r="D170" s="5" t="s">
        <v>399</v>
      </c>
      <c r="E170" s="6" t="s">
        <v>17</v>
      </c>
      <c r="F170" s="39">
        <v>46453</v>
      </c>
      <c r="G170" s="15">
        <f t="shared" si="25"/>
        <v>46394</v>
      </c>
      <c r="H170" s="15">
        <f t="shared" si="26"/>
        <v>46425</v>
      </c>
      <c r="I170" s="15">
        <f t="shared" si="27"/>
        <v>46446</v>
      </c>
      <c r="J170" s="15">
        <f t="shared" si="28"/>
        <v>46451</v>
      </c>
      <c r="K170" s="16" t="str">
        <f t="shared" ca="1" si="29"/>
        <v>🟢 В порядке</v>
      </c>
      <c r="L170" s="4"/>
    </row>
    <row r="171" spans="1:12" ht="21.95" customHeight="1" x14ac:dyDescent="0.3">
      <c r="A171" s="1">
        <v>167</v>
      </c>
      <c r="B171" s="2" t="s">
        <v>317</v>
      </c>
      <c r="C171" s="2" t="s">
        <v>400</v>
      </c>
      <c r="D171" s="2" t="s">
        <v>401</v>
      </c>
      <c r="E171" s="3" t="s">
        <v>17</v>
      </c>
      <c r="F171" s="39">
        <v>46454</v>
      </c>
      <c r="G171" s="13">
        <f t="shared" si="25"/>
        <v>46395</v>
      </c>
      <c r="H171" s="13">
        <f t="shared" si="26"/>
        <v>46426</v>
      </c>
      <c r="I171" s="13">
        <f t="shared" si="27"/>
        <v>46447</v>
      </c>
      <c r="J171" s="13">
        <f t="shared" si="28"/>
        <v>46452</v>
      </c>
      <c r="K171" s="14" t="str">
        <f t="shared" ca="1" si="29"/>
        <v>🟢 В порядке</v>
      </c>
      <c r="L171" s="1"/>
    </row>
    <row r="172" spans="1:12" ht="21.95" customHeight="1" x14ac:dyDescent="0.3">
      <c r="A172" s="4">
        <v>168</v>
      </c>
      <c r="B172" s="5" t="s">
        <v>317</v>
      </c>
      <c r="C172" s="5" t="s">
        <v>402</v>
      </c>
      <c r="D172" s="5" t="s">
        <v>403</v>
      </c>
      <c r="E172" s="6" t="s">
        <v>17</v>
      </c>
      <c r="F172" s="39">
        <v>46455</v>
      </c>
      <c r="G172" s="15">
        <f t="shared" si="25"/>
        <v>46396</v>
      </c>
      <c r="H172" s="15">
        <f t="shared" si="26"/>
        <v>46427</v>
      </c>
      <c r="I172" s="15">
        <f t="shared" si="27"/>
        <v>46448</v>
      </c>
      <c r="J172" s="15">
        <f t="shared" si="28"/>
        <v>46453</v>
      </c>
      <c r="K172" s="16" t="str">
        <f t="shared" ca="1" si="29"/>
        <v>🟢 В порядке</v>
      </c>
      <c r="L172" s="4"/>
    </row>
    <row r="173" spans="1:12" ht="21.95" customHeight="1" x14ac:dyDescent="0.3">
      <c r="A173" s="1">
        <v>169</v>
      </c>
      <c r="B173" s="2" t="s">
        <v>317</v>
      </c>
      <c r="C173" s="2" t="s">
        <v>404</v>
      </c>
      <c r="D173" s="2" t="s">
        <v>405</v>
      </c>
      <c r="E173" s="3" t="s">
        <v>17</v>
      </c>
      <c r="F173" s="39">
        <v>46456</v>
      </c>
      <c r="G173" s="13">
        <f t="shared" si="25"/>
        <v>46397</v>
      </c>
      <c r="H173" s="13">
        <f t="shared" si="26"/>
        <v>46428</v>
      </c>
      <c r="I173" s="13">
        <f t="shared" si="27"/>
        <v>46449</v>
      </c>
      <c r="J173" s="13">
        <f t="shared" si="28"/>
        <v>46454</v>
      </c>
      <c r="K173" s="14" t="str">
        <f t="shared" ca="1" si="29"/>
        <v>🟢 В порядке</v>
      </c>
      <c r="L173" s="1"/>
    </row>
    <row r="174" spans="1:12" ht="21.95" customHeight="1" x14ac:dyDescent="0.3">
      <c r="A174" s="4">
        <v>170</v>
      </c>
      <c r="B174" s="5" t="s">
        <v>317</v>
      </c>
      <c r="C174" s="5" t="s">
        <v>406</v>
      </c>
      <c r="D174" s="5" t="s">
        <v>407</v>
      </c>
      <c r="E174" s="6" t="s">
        <v>17</v>
      </c>
      <c r="F174" s="39">
        <v>46457</v>
      </c>
      <c r="G174" s="15">
        <f t="shared" si="25"/>
        <v>46398</v>
      </c>
      <c r="H174" s="15">
        <f t="shared" si="26"/>
        <v>46429</v>
      </c>
      <c r="I174" s="15">
        <f t="shared" si="27"/>
        <v>46450</v>
      </c>
      <c r="J174" s="15">
        <f t="shared" si="28"/>
        <v>46455</v>
      </c>
      <c r="K174" s="16" t="str">
        <f t="shared" ca="1" si="29"/>
        <v>🟢 В порядке</v>
      </c>
      <c r="L174" s="4"/>
    </row>
    <row r="175" spans="1:12" ht="21.95" customHeight="1" x14ac:dyDescent="0.3">
      <c r="A175" s="1">
        <v>171</v>
      </c>
      <c r="B175" s="2" t="s">
        <v>317</v>
      </c>
      <c r="C175" s="2" t="s">
        <v>408</v>
      </c>
      <c r="D175" s="2" t="s">
        <v>409</v>
      </c>
      <c r="E175" s="3" t="s">
        <v>17</v>
      </c>
      <c r="F175" s="39">
        <v>46458</v>
      </c>
      <c r="G175" s="13">
        <f t="shared" si="25"/>
        <v>46399</v>
      </c>
      <c r="H175" s="13">
        <f t="shared" si="26"/>
        <v>46430</v>
      </c>
      <c r="I175" s="13">
        <f t="shared" si="27"/>
        <v>46451</v>
      </c>
      <c r="J175" s="13">
        <f t="shared" si="28"/>
        <v>46456</v>
      </c>
      <c r="K175" s="14" t="str">
        <f t="shared" ca="1" si="29"/>
        <v>🟢 В порядке</v>
      </c>
      <c r="L175" s="1"/>
    </row>
    <row r="176" spans="1:12" ht="21.95" customHeight="1" x14ac:dyDescent="0.3">
      <c r="A176" s="4">
        <v>172</v>
      </c>
      <c r="B176" s="5" t="s">
        <v>317</v>
      </c>
      <c r="C176" s="5" t="s">
        <v>410</v>
      </c>
      <c r="D176" s="5" t="s">
        <v>411</v>
      </c>
      <c r="E176" s="6" t="s">
        <v>17</v>
      </c>
      <c r="F176" s="39">
        <v>46459</v>
      </c>
      <c r="G176" s="15">
        <f t="shared" si="25"/>
        <v>46400</v>
      </c>
      <c r="H176" s="15">
        <f t="shared" si="26"/>
        <v>46431</v>
      </c>
      <c r="I176" s="15">
        <f t="shared" si="27"/>
        <v>46452</v>
      </c>
      <c r="J176" s="15">
        <f t="shared" si="28"/>
        <v>46457</v>
      </c>
      <c r="K176" s="16" t="str">
        <f t="shared" ca="1" si="29"/>
        <v>🟢 В порядке</v>
      </c>
      <c r="L176" s="4"/>
    </row>
    <row r="177" spans="1:12" ht="21.95" customHeight="1" x14ac:dyDescent="0.3">
      <c r="A177" s="1">
        <v>173</v>
      </c>
      <c r="B177" s="2" t="s">
        <v>317</v>
      </c>
      <c r="C177" s="2" t="s">
        <v>412</v>
      </c>
      <c r="D177" s="2" t="s">
        <v>413</v>
      </c>
      <c r="E177" s="3" t="s">
        <v>17</v>
      </c>
      <c r="F177" s="39">
        <v>46460</v>
      </c>
      <c r="G177" s="13">
        <f t="shared" si="25"/>
        <v>46401</v>
      </c>
      <c r="H177" s="13">
        <f t="shared" si="26"/>
        <v>46432</v>
      </c>
      <c r="I177" s="13">
        <f t="shared" si="27"/>
        <v>46453</v>
      </c>
      <c r="J177" s="13">
        <f t="shared" si="28"/>
        <v>46458</v>
      </c>
      <c r="K177" s="14" t="str">
        <f t="shared" ca="1" si="29"/>
        <v>🟢 В порядке</v>
      </c>
      <c r="L177" s="1"/>
    </row>
    <row r="178" spans="1:12" ht="21.95" customHeight="1" x14ac:dyDescent="0.3">
      <c r="A178" s="4">
        <v>174</v>
      </c>
      <c r="B178" s="5" t="s">
        <v>317</v>
      </c>
      <c r="C178" s="5" t="s">
        <v>414</v>
      </c>
      <c r="D178" s="5" t="s">
        <v>415</v>
      </c>
      <c r="E178" s="6" t="s">
        <v>17</v>
      </c>
      <c r="F178" s="39">
        <v>46461</v>
      </c>
      <c r="G178" s="15">
        <f t="shared" si="25"/>
        <v>46402</v>
      </c>
      <c r="H178" s="15">
        <f t="shared" si="26"/>
        <v>46433</v>
      </c>
      <c r="I178" s="15">
        <f t="shared" si="27"/>
        <v>46454</v>
      </c>
      <c r="J178" s="15">
        <f t="shared" si="28"/>
        <v>46459</v>
      </c>
      <c r="K178" s="16" t="str">
        <f t="shared" ca="1" si="29"/>
        <v>🟢 В порядке</v>
      </c>
      <c r="L178" s="4"/>
    </row>
    <row r="179" spans="1:12" ht="21.95" customHeight="1" x14ac:dyDescent="0.3">
      <c r="A179" s="1">
        <v>175</v>
      </c>
      <c r="B179" s="2" t="s">
        <v>317</v>
      </c>
      <c r="C179" s="2" t="s">
        <v>416</v>
      </c>
      <c r="D179" s="2" t="s">
        <v>417</v>
      </c>
      <c r="E179" s="3" t="s">
        <v>17</v>
      </c>
      <c r="F179" s="39">
        <v>46462</v>
      </c>
      <c r="G179" s="13">
        <f t="shared" si="25"/>
        <v>46403</v>
      </c>
      <c r="H179" s="13">
        <f t="shared" si="26"/>
        <v>46434</v>
      </c>
      <c r="I179" s="13">
        <f t="shared" si="27"/>
        <v>46455</v>
      </c>
      <c r="J179" s="13">
        <f t="shared" si="28"/>
        <v>46460</v>
      </c>
      <c r="K179" s="14" t="str">
        <f t="shared" ca="1" si="29"/>
        <v>🟢 В порядке</v>
      </c>
      <c r="L179" s="1"/>
    </row>
    <row r="180" spans="1:12" ht="21.95" customHeight="1" x14ac:dyDescent="0.3">
      <c r="A180" s="4">
        <v>176</v>
      </c>
      <c r="B180" s="5" t="s">
        <v>317</v>
      </c>
      <c r="C180" s="5" t="s">
        <v>418</v>
      </c>
      <c r="D180" s="5" t="s">
        <v>419</v>
      </c>
      <c r="E180" s="6" t="s">
        <v>17</v>
      </c>
      <c r="F180" s="39">
        <v>46463</v>
      </c>
      <c r="G180" s="15">
        <f t="shared" si="25"/>
        <v>46404</v>
      </c>
      <c r="H180" s="15">
        <f t="shared" si="26"/>
        <v>46435</v>
      </c>
      <c r="I180" s="15">
        <f t="shared" si="27"/>
        <v>46456</v>
      </c>
      <c r="J180" s="15">
        <f t="shared" si="28"/>
        <v>46461</v>
      </c>
      <c r="K180" s="16" t="str">
        <f t="shared" ca="1" si="29"/>
        <v>🟢 В порядке</v>
      </c>
      <c r="L180" s="4"/>
    </row>
    <row r="181" spans="1:12" ht="21.95" customHeight="1" x14ac:dyDescent="0.3">
      <c r="A181" s="1">
        <v>177</v>
      </c>
      <c r="B181" s="2" t="s">
        <v>317</v>
      </c>
      <c r="C181" s="2" t="s">
        <v>420</v>
      </c>
      <c r="D181" s="2" t="s">
        <v>421</v>
      </c>
      <c r="E181" s="3" t="s">
        <v>17</v>
      </c>
      <c r="F181" s="39">
        <v>46464</v>
      </c>
      <c r="G181" s="13">
        <f t="shared" si="25"/>
        <v>46405</v>
      </c>
      <c r="H181" s="13">
        <f t="shared" si="26"/>
        <v>46436</v>
      </c>
      <c r="I181" s="13">
        <f t="shared" si="27"/>
        <v>46457</v>
      </c>
      <c r="J181" s="13">
        <f t="shared" si="28"/>
        <v>46462</v>
      </c>
      <c r="K181" s="14" t="str">
        <f t="shared" ca="1" si="29"/>
        <v>🟢 В порядке</v>
      </c>
      <c r="L181" s="1"/>
    </row>
    <row r="182" spans="1:12" ht="21.95" customHeight="1" x14ac:dyDescent="0.3">
      <c r="A182" s="4">
        <v>178</v>
      </c>
      <c r="B182" s="5" t="s">
        <v>317</v>
      </c>
      <c r="C182" s="5" t="s">
        <v>422</v>
      </c>
      <c r="D182" s="5" t="s">
        <v>423</v>
      </c>
      <c r="E182" s="6" t="s">
        <v>17</v>
      </c>
      <c r="F182" s="39">
        <v>46465</v>
      </c>
      <c r="G182" s="15">
        <f t="shared" si="25"/>
        <v>46406</v>
      </c>
      <c r="H182" s="15">
        <f t="shared" si="26"/>
        <v>46437</v>
      </c>
      <c r="I182" s="15">
        <f t="shared" si="27"/>
        <v>46458</v>
      </c>
      <c r="J182" s="15">
        <f t="shared" si="28"/>
        <v>46463</v>
      </c>
      <c r="K182" s="16" t="str">
        <f t="shared" ca="1" si="29"/>
        <v>🟢 В порядке</v>
      </c>
      <c r="L182" s="4"/>
    </row>
    <row r="183" spans="1:12" ht="21.95" customHeight="1" x14ac:dyDescent="0.3">
      <c r="A183" s="1">
        <v>179</v>
      </c>
      <c r="B183" s="2" t="s">
        <v>317</v>
      </c>
      <c r="C183" s="2" t="s">
        <v>424</v>
      </c>
      <c r="D183" s="2" t="s">
        <v>425</v>
      </c>
      <c r="E183" s="3" t="s">
        <v>17</v>
      </c>
      <c r="F183" s="39">
        <v>46466</v>
      </c>
      <c r="G183" s="13">
        <f t="shared" si="25"/>
        <v>46407</v>
      </c>
      <c r="H183" s="13">
        <f t="shared" si="26"/>
        <v>46438</v>
      </c>
      <c r="I183" s="13">
        <f t="shared" si="27"/>
        <v>46459</v>
      </c>
      <c r="J183" s="13">
        <f t="shared" si="28"/>
        <v>46464</v>
      </c>
      <c r="K183" s="14" t="str">
        <f t="shared" ca="1" si="29"/>
        <v>🟢 В порядке</v>
      </c>
      <c r="L183" s="1"/>
    </row>
    <row r="184" spans="1:12" ht="21.95" customHeight="1" x14ac:dyDescent="0.3">
      <c r="A184" s="4">
        <v>180</v>
      </c>
      <c r="B184" s="5" t="s">
        <v>317</v>
      </c>
      <c r="C184" s="5" t="s">
        <v>426</v>
      </c>
      <c r="D184" s="5" t="s">
        <v>427</v>
      </c>
      <c r="E184" s="6" t="s">
        <v>17</v>
      </c>
      <c r="F184" s="39">
        <v>46467</v>
      </c>
      <c r="G184" s="15">
        <f t="shared" si="25"/>
        <v>46408</v>
      </c>
      <c r="H184" s="15">
        <f t="shared" si="26"/>
        <v>46439</v>
      </c>
      <c r="I184" s="15">
        <f t="shared" si="27"/>
        <v>46460</v>
      </c>
      <c r="J184" s="15">
        <f t="shared" si="28"/>
        <v>46465</v>
      </c>
      <c r="K184" s="16" t="str">
        <f t="shared" ca="1" si="29"/>
        <v>🟢 В порядке</v>
      </c>
      <c r="L184" s="4"/>
    </row>
    <row r="185" spans="1:12" ht="21.95" customHeight="1" x14ac:dyDescent="0.3">
      <c r="A185" s="1">
        <v>181</v>
      </c>
      <c r="B185" s="2" t="s">
        <v>317</v>
      </c>
      <c r="C185" s="2" t="s">
        <v>428</v>
      </c>
      <c r="D185" s="2" t="s">
        <v>429</v>
      </c>
      <c r="E185" s="3" t="s">
        <v>17</v>
      </c>
      <c r="F185" s="39">
        <v>46468</v>
      </c>
      <c r="G185" s="13">
        <f t="shared" si="25"/>
        <v>46409</v>
      </c>
      <c r="H185" s="13">
        <f t="shared" si="26"/>
        <v>46440</v>
      </c>
      <c r="I185" s="13">
        <f t="shared" si="27"/>
        <v>46461</v>
      </c>
      <c r="J185" s="13">
        <f t="shared" si="28"/>
        <v>46466</v>
      </c>
      <c r="K185" s="14" t="str">
        <f t="shared" ca="1" si="29"/>
        <v>🟢 В порядке</v>
      </c>
      <c r="L185" s="1"/>
    </row>
    <row r="186" spans="1:12" ht="21.95" customHeight="1" x14ac:dyDescent="0.3">
      <c r="A186" s="4">
        <v>182</v>
      </c>
      <c r="B186" s="5" t="s">
        <v>317</v>
      </c>
      <c r="C186" s="5" t="s">
        <v>430</v>
      </c>
      <c r="D186" s="5" t="s">
        <v>431</v>
      </c>
      <c r="E186" s="6" t="s">
        <v>17</v>
      </c>
      <c r="F186" s="39">
        <v>46469</v>
      </c>
      <c r="G186" s="15">
        <f t="shared" si="25"/>
        <v>46410</v>
      </c>
      <c r="H186" s="15">
        <f t="shared" si="26"/>
        <v>46441</v>
      </c>
      <c r="I186" s="15">
        <f t="shared" si="27"/>
        <v>46462</v>
      </c>
      <c r="J186" s="15">
        <f t="shared" si="28"/>
        <v>46467</v>
      </c>
      <c r="K186" s="16" t="str">
        <f t="shared" ca="1" si="29"/>
        <v>🟢 В порядке</v>
      </c>
      <c r="L186" s="4"/>
    </row>
    <row r="187" spans="1:12" ht="21.95" customHeight="1" x14ac:dyDescent="0.3">
      <c r="A187" s="1">
        <v>183</v>
      </c>
      <c r="B187" s="2" t="s">
        <v>317</v>
      </c>
      <c r="C187" s="2" t="s">
        <v>432</v>
      </c>
      <c r="D187" s="2" t="s">
        <v>433</v>
      </c>
      <c r="E187" s="3" t="s">
        <v>17</v>
      </c>
      <c r="F187" s="39">
        <v>46470</v>
      </c>
      <c r="G187" s="13">
        <f t="shared" si="25"/>
        <v>46411</v>
      </c>
      <c r="H187" s="13">
        <f t="shared" si="26"/>
        <v>46442</v>
      </c>
      <c r="I187" s="13">
        <f t="shared" si="27"/>
        <v>46463</v>
      </c>
      <c r="J187" s="13">
        <f t="shared" si="28"/>
        <v>46468</v>
      </c>
      <c r="K187" s="14" t="str">
        <f t="shared" ca="1" si="29"/>
        <v>🟢 В порядке</v>
      </c>
      <c r="L187" s="1"/>
    </row>
    <row r="188" spans="1:12" ht="21.95" customHeight="1" x14ac:dyDescent="0.3">
      <c r="A188" s="4">
        <v>184</v>
      </c>
      <c r="B188" s="5" t="s">
        <v>317</v>
      </c>
      <c r="C188" s="5" t="s">
        <v>434</v>
      </c>
      <c r="D188" s="5" t="s">
        <v>435</v>
      </c>
      <c r="E188" s="6" t="s">
        <v>17</v>
      </c>
      <c r="F188" s="39">
        <v>46471</v>
      </c>
      <c r="G188" s="15">
        <f t="shared" si="25"/>
        <v>46412</v>
      </c>
      <c r="H188" s="15">
        <f t="shared" si="26"/>
        <v>46443</v>
      </c>
      <c r="I188" s="15">
        <f t="shared" si="27"/>
        <v>46464</v>
      </c>
      <c r="J188" s="15">
        <f t="shared" si="28"/>
        <v>46469</v>
      </c>
      <c r="K188" s="16" t="str">
        <f t="shared" ca="1" si="29"/>
        <v>🟢 В порядке</v>
      </c>
      <c r="L188" s="4"/>
    </row>
    <row r="189" spans="1:12" ht="21.95" customHeight="1" x14ac:dyDescent="0.3">
      <c r="A189" s="1">
        <v>185</v>
      </c>
      <c r="B189" s="2" t="s">
        <v>317</v>
      </c>
      <c r="C189" s="2" t="s">
        <v>436</v>
      </c>
      <c r="D189" s="2" t="s">
        <v>437</v>
      </c>
      <c r="E189" s="3" t="s">
        <v>17</v>
      </c>
      <c r="F189" s="39">
        <v>46472</v>
      </c>
      <c r="G189" s="13">
        <f t="shared" si="25"/>
        <v>46413</v>
      </c>
      <c r="H189" s="13">
        <f t="shared" si="26"/>
        <v>46444</v>
      </c>
      <c r="I189" s="13">
        <f t="shared" si="27"/>
        <v>46465</v>
      </c>
      <c r="J189" s="13">
        <f t="shared" si="28"/>
        <v>46470</v>
      </c>
      <c r="K189" s="14" t="str">
        <f t="shared" ca="1" si="29"/>
        <v>🟢 В порядке</v>
      </c>
      <c r="L189" s="1"/>
    </row>
    <row r="190" spans="1:12" ht="21.95" customHeight="1" x14ac:dyDescent="0.3">
      <c r="A190" s="4">
        <v>186</v>
      </c>
      <c r="B190" s="5" t="s">
        <v>317</v>
      </c>
      <c r="C190" s="5" t="s">
        <v>438</v>
      </c>
      <c r="D190" s="5" t="s">
        <v>439</v>
      </c>
      <c r="E190" s="6" t="s">
        <v>17</v>
      </c>
      <c r="F190" s="39">
        <v>46473</v>
      </c>
      <c r="G190" s="15">
        <f t="shared" si="25"/>
        <v>46414</v>
      </c>
      <c r="H190" s="15">
        <f t="shared" si="26"/>
        <v>46445</v>
      </c>
      <c r="I190" s="15">
        <f t="shared" si="27"/>
        <v>46466</v>
      </c>
      <c r="J190" s="15">
        <f t="shared" si="28"/>
        <v>46471</v>
      </c>
      <c r="K190" s="16" t="str">
        <f t="shared" ca="1" si="29"/>
        <v>🟢 В порядке</v>
      </c>
      <c r="L190" s="4"/>
    </row>
    <row r="191" spans="1:12" ht="21.95" customHeight="1" x14ac:dyDescent="0.3">
      <c r="A191" s="1">
        <v>187</v>
      </c>
      <c r="B191" s="2" t="s">
        <v>440</v>
      </c>
      <c r="C191" s="2" t="s">
        <v>441</v>
      </c>
      <c r="D191" s="2" t="s">
        <v>442</v>
      </c>
      <c r="E191" s="3" t="s">
        <v>17</v>
      </c>
      <c r="F191" s="39">
        <v>46474</v>
      </c>
      <c r="G191" s="13">
        <f t="shared" si="25"/>
        <v>46415</v>
      </c>
      <c r="H191" s="13">
        <f t="shared" si="26"/>
        <v>46446</v>
      </c>
      <c r="I191" s="13">
        <f t="shared" si="27"/>
        <v>46467</v>
      </c>
      <c r="J191" s="13">
        <f t="shared" si="28"/>
        <v>46472</v>
      </c>
      <c r="K191" s="14" t="str">
        <f t="shared" ca="1" si="29"/>
        <v>🟢 В порядке</v>
      </c>
      <c r="L191" s="1"/>
    </row>
    <row r="193" spans="1:12" ht="24.05" customHeight="1" x14ac:dyDescent="0.3">
      <c r="A193" s="26" t="s">
        <v>443</v>
      </c>
      <c r="B193" s="27"/>
      <c r="C193" s="27"/>
      <c r="D193" s="27"/>
      <c r="E193" s="27"/>
      <c r="F193" s="27"/>
      <c r="G193" s="27"/>
      <c r="H193" s="27"/>
      <c r="I193" s="27"/>
      <c r="J193" s="27"/>
      <c r="K193" s="27"/>
      <c r="L193" s="27"/>
    </row>
  </sheetData>
  <autoFilter ref="A4:L191" xr:uid="{00000000-0009-0000-0000-000000000000}"/>
  <mergeCells count="3">
    <mergeCell ref="A193:L193"/>
    <mergeCell ref="A2:L2"/>
    <mergeCell ref="A1:L1"/>
  </mergeCells>
  <conditionalFormatting sqref="F5:J191">
    <cfRule type="expression" dxfId="13" priority="1">
      <formula>AND($F5&lt;&gt;"",$F5&lt;TODAY())</formula>
    </cfRule>
    <cfRule type="expression" dxfId="12" priority="2">
      <formula>AND($F5&lt;&gt;"",$F5&gt;=TODAY(),$G5&lt;=TODAY())</formula>
    </cfRule>
  </conditionalFormatting>
  <conditionalFormatting sqref="K5:K191">
    <cfRule type="expression" dxfId="11" priority="3">
      <formula>ISNUMBER(SEARCH("Просрочена",K5))</formula>
    </cfRule>
    <cfRule type="expression" dxfId="10" priority="4">
      <formula>ISNUMBER(SEARCH("Скоро",K5))</formula>
    </cfRule>
    <cfRule type="expression" dxfId="9" priority="5">
      <formula>ISNUMBER(SEARCH("порядке",K5))</formula>
    </cfRule>
  </conditionalFormatting>
  <conditionalFormatting sqref="F5:F191">
    <cfRule type="expression" dxfId="8" priority="6" stopIfTrue="1">
      <formula>AND(F5&lt;&gt;"",F5&lt;TODAY())</formula>
    </cfRule>
    <cfRule type="expression" dxfId="7" priority="7" stopIfTrue="1">
      <formula>AND(F5&lt;&gt;"",F5&lt;=TODAY())</formula>
    </cfRule>
    <cfRule type="expression" dxfId="6" priority="8">
      <formula>AND(F5&lt;&gt;"",F5&gt;TODAY())</formula>
    </cfRule>
  </conditionalFormatting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42"/>
  <sheetViews>
    <sheetView workbookViewId="0">
      <pane xSplit="1" ySplit="4" topLeftCell="B119" activePane="bottomRight" state="frozen"/>
      <selection pane="topRight"/>
      <selection pane="bottomLeft"/>
      <selection pane="bottomRight" activeCell="F122" sqref="F122"/>
    </sheetView>
  </sheetViews>
  <sheetFormatPr defaultRowHeight="15.05" x14ac:dyDescent="0.3"/>
  <cols>
    <col min="1" max="1" width="5" style="22" customWidth="1"/>
    <col min="2" max="2" width="35.33203125" style="22" customWidth="1"/>
    <col min="3" max="3" width="45" style="22" customWidth="1"/>
    <col min="4" max="4" width="16" style="22" customWidth="1"/>
    <col min="5" max="5" width="17.6640625" style="22" customWidth="1"/>
    <col min="6" max="6" width="21.44140625" style="23" customWidth="1"/>
    <col min="7" max="7" width="12" style="23" customWidth="1"/>
    <col min="8" max="10" width="14" style="23" customWidth="1"/>
    <col min="11" max="11" width="23.5546875" style="22" customWidth="1"/>
    <col min="12" max="12" width="20" style="22" customWidth="1"/>
  </cols>
  <sheetData>
    <row r="1" spans="1:12" ht="29.95" customHeight="1" x14ac:dyDescent="0.3">
      <c r="A1" s="33" t="s">
        <v>444</v>
      </c>
      <c r="B1" s="27"/>
      <c r="C1" s="27"/>
      <c r="D1" s="27"/>
      <c r="E1" s="27"/>
      <c r="F1" s="27"/>
      <c r="G1" s="31"/>
      <c r="H1" s="31"/>
      <c r="I1" s="31"/>
      <c r="J1" s="31"/>
      <c r="K1" s="27"/>
      <c r="L1" s="27"/>
    </row>
    <row r="2" spans="1:12" ht="18" customHeight="1" x14ac:dyDescent="0.3">
      <c r="A2" s="32" t="s">
        <v>445</v>
      </c>
      <c r="B2" s="27"/>
      <c r="C2" s="27"/>
      <c r="D2" s="27"/>
      <c r="E2" s="27"/>
      <c r="F2" s="27"/>
      <c r="G2" s="31"/>
      <c r="H2" s="31"/>
      <c r="I2" s="31"/>
      <c r="J2" s="31"/>
      <c r="K2" s="27"/>
      <c r="L2" s="27"/>
    </row>
    <row r="3" spans="1:12" x14ac:dyDescent="0.3">
      <c r="A3" s="25">
        <v>1</v>
      </c>
      <c r="B3" s="25">
        <v>2</v>
      </c>
      <c r="C3" s="25">
        <v>3</v>
      </c>
      <c r="D3" s="25">
        <v>4</v>
      </c>
      <c r="E3" s="25">
        <v>5</v>
      </c>
      <c r="F3" s="37">
        <v>6</v>
      </c>
      <c r="G3" s="25">
        <v>7</v>
      </c>
      <c r="H3" s="25">
        <v>8</v>
      </c>
      <c r="I3" s="25">
        <v>9</v>
      </c>
      <c r="J3" s="25">
        <v>10</v>
      </c>
      <c r="K3" s="25">
        <v>11</v>
      </c>
      <c r="L3" s="25">
        <v>12</v>
      </c>
    </row>
    <row r="4" spans="1:12" ht="39.950000000000003" customHeight="1" x14ac:dyDescent="0.3">
      <c r="A4" s="7" t="s">
        <v>2</v>
      </c>
      <c r="B4" s="7" t="s">
        <v>3</v>
      </c>
      <c r="C4" s="7" t="s">
        <v>4</v>
      </c>
      <c r="D4" s="7" t="s">
        <v>5</v>
      </c>
      <c r="E4" s="7" t="s">
        <v>6</v>
      </c>
      <c r="F4" s="18" t="s">
        <v>7</v>
      </c>
      <c r="G4" s="18" t="s">
        <v>8</v>
      </c>
      <c r="H4" s="18" t="s">
        <v>9</v>
      </c>
      <c r="I4" s="18" t="s">
        <v>10</v>
      </c>
      <c r="J4" s="18" t="s">
        <v>11</v>
      </c>
      <c r="K4" s="7" t="s">
        <v>12</v>
      </c>
      <c r="L4" s="7" t="s">
        <v>13</v>
      </c>
    </row>
    <row r="5" spans="1:12" ht="21.95" customHeight="1" x14ac:dyDescent="0.3">
      <c r="A5" s="1">
        <v>1</v>
      </c>
      <c r="B5" s="2" t="s">
        <v>14</v>
      </c>
      <c r="C5" s="2" t="s">
        <v>446</v>
      </c>
      <c r="D5" s="2" t="s">
        <v>447</v>
      </c>
      <c r="E5" s="10" t="s">
        <v>448</v>
      </c>
      <c r="F5" s="36">
        <v>46451</v>
      </c>
      <c r="G5" s="19">
        <f t="shared" ref="G5:G36" si="0">IF(F5="","",DATE(YEAR(F5),MONTH(F5)-2,DAY(F5)))</f>
        <v>46392</v>
      </c>
      <c r="H5" s="19">
        <f t="shared" ref="H5:H36" si="1">IF(F5="","",F5-7)</f>
        <v>46444</v>
      </c>
      <c r="I5" s="19">
        <f t="shared" ref="I5:I36" si="2">IF(F5="","",F5-2)</f>
        <v>46449</v>
      </c>
      <c r="J5" s="21">
        <f t="shared" ref="J5:J36" si="3">IF(E5="","",F5-2)</f>
        <v>46449</v>
      </c>
      <c r="K5" s="14" t="str">
        <f t="shared" ref="K5:K36" ca="1" si="4">IF(F5="","❓ Не указана",IF(F5&lt;TODAY(),"🔴 Просрочена",IF(J5&lt;=TODAY(),"🔴 Просрочена скоро",IF(I5&lt;=TODAY(),"🟡 Скоро (-7 дн.)",IF(H5&lt;=TODAY(),"🟡 Скоро (-1 мес.)",IF(G5&lt;=TODAY(),"🟡 Скоро (-2 мес.)","🟢 В порядке"))))))</f>
        <v>🟢 В порядке</v>
      </c>
      <c r="L5" s="1"/>
    </row>
    <row r="6" spans="1:12" ht="21.95" customHeight="1" x14ac:dyDescent="0.3">
      <c r="A6" s="8">
        <v>2</v>
      </c>
      <c r="B6" s="9" t="s">
        <v>14</v>
      </c>
      <c r="C6" s="9" t="s">
        <v>449</v>
      </c>
      <c r="D6" s="9" t="s">
        <v>450</v>
      </c>
      <c r="E6" s="10" t="s">
        <v>448</v>
      </c>
      <c r="F6" s="36">
        <v>46300</v>
      </c>
      <c r="G6" s="20">
        <f t="shared" si="0"/>
        <v>46239</v>
      </c>
      <c r="H6" s="20">
        <f t="shared" si="1"/>
        <v>46293</v>
      </c>
      <c r="I6" s="20">
        <f t="shared" si="2"/>
        <v>46298</v>
      </c>
      <c r="J6" s="21">
        <f t="shared" si="3"/>
        <v>46298</v>
      </c>
      <c r="K6" s="14" t="str">
        <f t="shared" ca="1" si="4"/>
        <v>🟢 В порядке</v>
      </c>
      <c r="L6" s="8"/>
    </row>
    <row r="7" spans="1:12" ht="21.95" customHeight="1" x14ac:dyDescent="0.3">
      <c r="A7" s="1">
        <v>3</v>
      </c>
      <c r="B7" s="2" t="s">
        <v>14</v>
      </c>
      <c r="C7" s="2" t="s">
        <v>451</v>
      </c>
      <c r="D7" s="2" t="s">
        <v>452</v>
      </c>
      <c r="E7" s="3" t="s">
        <v>448</v>
      </c>
      <c r="F7" s="36">
        <v>46239</v>
      </c>
      <c r="G7" s="19">
        <f t="shared" si="0"/>
        <v>46178</v>
      </c>
      <c r="H7" s="19">
        <f t="shared" si="1"/>
        <v>46232</v>
      </c>
      <c r="I7" s="19">
        <f t="shared" si="2"/>
        <v>46237</v>
      </c>
      <c r="J7" s="21">
        <f t="shared" si="3"/>
        <v>46237</v>
      </c>
      <c r="K7" s="14" t="str">
        <f t="shared" ca="1" si="4"/>
        <v>🟢 В порядке</v>
      </c>
      <c r="L7" s="1"/>
    </row>
    <row r="8" spans="1:12" ht="21.95" customHeight="1" x14ac:dyDescent="0.3">
      <c r="A8" s="8">
        <v>4</v>
      </c>
      <c r="B8" s="9" t="s">
        <v>20</v>
      </c>
      <c r="C8" s="9" t="s">
        <v>453</v>
      </c>
      <c r="D8" s="9" t="s">
        <v>454</v>
      </c>
      <c r="E8" s="10" t="s">
        <v>448</v>
      </c>
      <c r="F8" s="36">
        <v>46331</v>
      </c>
      <c r="G8" s="20">
        <f t="shared" si="0"/>
        <v>46270</v>
      </c>
      <c r="H8" s="20">
        <f t="shared" si="1"/>
        <v>46324</v>
      </c>
      <c r="I8" s="20">
        <f t="shared" si="2"/>
        <v>46329</v>
      </c>
      <c r="J8" s="21">
        <f t="shared" si="3"/>
        <v>46329</v>
      </c>
      <c r="K8" s="14" t="str">
        <f t="shared" ca="1" si="4"/>
        <v>🟢 В порядке</v>
      </c>
      <c r="L8" s="8"/>
    </row>
    <row r="9" spans="1:12" ht="21.95" customHeight="1" x14ac:dyDescent="0.3">
      <c r="A9" s="1">
        <v>5</v>
      </c>
      <c r="B9" s="2" t="s">
        <v>20</v>
      </c>
      <c r="C9" s="2" t="s">
        <v>455</v>
      </c>
      <c r="D9" s="2" t="s">
        <v>456</v>
      </c>
      <c r="E9" s="3" t="s">
        <v>448</v>
      </c>
      <c r="F9" s="36">
        <v>46178</v>
      </c>
      <c r="G9" s="19">
        <f t="shared" si="0"/>
        <v>46117</v>
      </c>
      <c r="H9" s="19">
        <f t="shared" si="1"/>
        <v>46171</v>
      </c>
      <c r="I9" s="19">
        <f t="shared" si="2"/>
        <v>46176</v>
      </c>
      <c r="J9" s="21">
        <f t="shared" si="3"/>
        <v>46176</v>
      </c>
      <c r="K9" s="14" t="str">
        <f t="shared" ca="1" si="4"/>
        <v>🟢 В порядке</v>
      </c>
      <c r="L9" s="1"/>
    </row>
    <row r="10" spans="1:12" ht="21.95" customHeight="1" x14ac:dyDescent="0.3">
      <c r="A10" s="8">
        <v>6</v>
      </c>
      <c r="B10" s="9" t="s">
        <v>29</v>
      </c>
      <c r="C10" s="9" t="s">
        <v>457</v>
      </c>
      <c r="D10" s="9" t="s">
        <v>458</v>
      </c>
      <c r="E10" s="10" t="s">
        <v>448</v>
      </c>
      <c r="F10" s="36">
        <v>46482</v>
      </c>
      <c r="G10" s="20">
        <f t="shared" si="0"/>
        <v>46423</v>
      </c>
      <c r="H10" s="20">
        <f t="shared" si="1"/>
        <v>46475</v>
      </c>
      <c r="I10" s="20">
        <f t="shared" si="2"/>
        <v>46480</v>
      </c>
      <c r="J10" s="21">
        <f t="shared" si="3"/>
        <v>46480</v>
      </c>
      <c r="K10" s="14" t="str">
        <f t="shared" ca="1" si="4"/>
        <v>🟢 В порядке</v>
      </c>
      <c r="L10" s="8"/>
    </row>
    <row r="11" spans="1:12" ht="21.95" customHeight="1" x14ac:dyDescent="0.3">
      <c r="A11" s="1">
        <v>7</v>
      </c>
      <c r="B11" s="2" t="s">
        <v>29</v>
      </c>
      <c r="C11" s="2" t="s">
        <v>459</v>
      </c>
      <c r="D11" s="2" t="s">
        <v>460</v>
      </c>
      <c r="E11" s="3" t="s">
        <v>448</v>
      </c>
      <c r="F11" s="36">
        <v>46482</v>
      </c>
      <c r="G11" s="19">
        <f t="shared" si="0"/>
        <v>46423</v>
      </c>
      <c r="H11" s="19">
        <f t="shared" si="1"/>
        <v>46475</v>
      </c>
      <c r="I11" s="19">
        <f t="shared" si="2"/>
        <v>46480</v>
      </c>
      <c r="J11" s="21">
        <f t="shared" si="3"/>
        <v>46480</v>
      </c>
      <c r="K11" s="14" t="str">
        <f t="shared" ca="1" si="4"/>
        <v>🟢 В порядке</v>
      </c>
      <c r="L11" s="1"/>
    </row>
    <row r="12" spans="1:12" ht="21.95" customHeight="1" x14ac:dyDescent="0.3">
      <c r="A12" s="8">
        <v>8</v>
      </c>
      <c r="B12" s="9" t="s">
        <v>38</v>
      </c>
      <c r="C12" s="9" t="s">
        <v>461</v>
      </c>
      <c r="D12" s="9" t="s">
        <v>462</v>
      </c>
      <c r="E12" s="10" t="s">
        <v>448</v>
      </c>
      <c r="F12" s="36">
        <v>46451</v>
      </c>
      <c r="G12" s="20">
        <f t="shared" si="0"/>
        <v>46392</v>
      </c>
      <c r="H12" s="20">
        <f t="shared" si="1"/>
        <v>46444</v>
      </c>
      <c r="I12" s="20">
        <f t="shared" si="2"/>
        <v>46449</v>
      </c>
      <c r="J12" s="21">
        <f t="shared" si="3"/>
        <v>46449</v>
      </c>
      <c r="K12" s="14" t="str">
        <f t="shared" ca="1" si="4"/>
        <v>🟢 В порядке</v>
      </c>
      <c r="L12" s="8"/>
    </row>
    <row r="13" spans="1:12" ht="21.95" customHeight="1" x14ac:dyDescent="0.3">
      <c r="A13" s="1">
        <v>9</v>
      </c>
      <c r="B13" s="2" t="s">
        <v>38</v>
      </c>
      <c r="C13" s="2" t="s">
        <v>463</v>
      </c>
      <c r="D13" s="2" t="s">
        <v>464</v>
      </c>
      <c r="E13" s="3" t="s">
        <v>448</v>
      </c>
      <c r="F13" s="36">
        <v>46451</v>
      </c>
      <c r="G13" s="19">
        <f t="shared" si="0"/>
        <v>46392</v>
      </c>
      <c r="H13" s="19">
        <f t="shared" si="1"/>
        <v>46444</v>
      </c>
      <c r="I13" s="19">
        <f t="shared" si="2"/>
        <v>46449</v>
      </c>
      <c r="J13" s="21">
        <f t="shared" si="3"/>
        <v>46449</v>
      </c>
      <c r="K13" s="14" t="str">
        <f t="shared" ca="1" si="4"/>
        <v>🟢 В порядке</v>
      </c>
      <c r="L13" s="1"/>
    </row>
    <row r="14" spans="1:12" ht="21.95" customHeight="1" x14ac:dyDescent="0.3">
      <c r="A14" s="8">
        <v>10</v>
      </c>
      <c r="B14" s="9" t="s">
        <v>43</v>
      </c>
      <c r="C14" s="9" t="s">
        <v>465</v>
      </c>
      <c r="D14" s="9" t="s">
        <v>466</v>
      </c>
      <c r="E14" s="10" t="s">
        <v>448</v>
      </c>
      <c r="F14" s="36">
        <v>46451</v>
      </c>
      <c r="G14" s="20">
        <f t="shared" si="0"/>
        <v>46392</v>
      </c>
      <c r="H14" s="20">
        <f t="shared" si="1"/>
        <v>46444</v>
      </c>
      <c r="I14" s="20">
        <f t="shared" si="2"/>
        <v>46449</v>
      </c>
      <c r="J14" s="21">
        <f t="shared" si="3"/>
        <v>46449</v>
      </c>
      <c r="K14" s="14" t="str">
        <f t="shared" ca="1" si="4"/>
        <v>🟢 В порядке</v>
      </c>
      <c r="L14" s="8"/>
    </row>
    <row r="15" spans="1:12" ht="21.95" customHeight="1" x14ac:dyDescent="0.3">
      <c r="A15" s="1">
        <v>11</v>
      </c>
      <c r="B15" s="2" t="s">
        <v>43</v>
      </c>
      <c r="C15" s="2" t="s">
        <v>467</v>
      </c>
      <c r="D15" s="2" t="s">
        <v>468</v>
      </c>
      <c r="E15" s="3" t="s">
        <v>448</v>
      </c>
      <c r="F15" s="36">
        <v>46239</v>
      </c>
      <c r="G15" s="19">
        <f t="shared" si="0"/>
        <v>46178</v>
      </c>
      <c r="H15" s="19">
        <f t="shared" si="1"/>
        <v>46232</v>
      </c>
      <c r="I15" s="19">
        <f t="shared" si="2"/>
        <v>46237</v>
      </c>
      <c r="J15" s="21">
        <f t="shared" si="3"/>
        <v>46237</v>
      </c>
      <c r="K15" s="14" t="str">
        <f t="shared" ca="1" si="4"/>
        <v>🟢 В порядке</v>
      </c>
      <c r="L15" s="1"/>
    </row>
    <row r="16" spans="1:12" ht="21.95" customHeight="1" x14ac:dyDescent="0.3">
      <c r="A16" s="8">
        <v>12</v>
      </c>
      <c r="B16" s="9" t="s">
        <v>50</v>
      </c>
      <c r="C16" s="9" t="s">
        <v>469</v>
      </c>
      <c r="D16" s="9" t="s">
        <v>470</v>
      </c>
      <c r="E16" s="10" t="s">
        <v>448</v>
      </c>
      <c r="F16" s="36">
        <v>46300</v>
      </c>
      <c r="G16" s="20">
        <f t="shared" si="0"/>
        <v>46239</v>
      </c>
      <c r="H16" s="20">
        <f t="shared" si="1"/>
        <v>46293</v>
      </c>
      <c r="I16" s="20">
        <f t="shared" si="2"/>
        <v>46298</v>
      </c>
      <c r="J16" s="21">
        <f t="shared" si="3"/>
        <v>46298</v>
      </c>
      <c r="K16" s="14" t="str">
        <f t="shared" ca="1" si="4"/>
        <v>🟢 В порядке</v>
      </c>
      <c r="L16" s="8"/>
    </row>
    <row r="17" spans="1:12" ht="21.95" customHeight="1" x14ac:dyDescent="0.3">
      <c r="A17" s="1">
        <v>13</v>
      </c>
      <c r="B17" s="2" t="s">
        <v>50</v>
      </c>
      <c r="C17" s="2" t="s">
        <v>471</v>
      </c>
      <c r="D17" s="2" t="s">
        <v>472</v>
      </c>
      <c r="E17" s="3" t="s">
        <v>448</v>
      </c>
      <c r="F17" s="36">
        <v>46300</v>
      </c>
      <c r="G17" s="19">
        <f t="shared" si="0"/>
        <v>46239</v>
      </c>
      <c r="H17" s="19">
        <f t="shared" si="1"/>
        <v>46293</v>
      </c>
      <c r="I17" s="19">
        <f t="shared" si="2"/>
        <v>46298</v>
      </c>
      <c r="J17" s="21">
        <f t="shared" si="3"/>
        <v>46298</v>
      </c>
      <c r="K17" s="14" t="str">
        <f t="shared" ca="1" si="4"/>
        <v>🟢 В порядке</v>
      </c>
      <c r="L17" s="1"/>
    </row>
    <row r="18" spans="1:12" ht="21.95" customHeight="1" x14ac:dyDescent="0.3">
      <c r="A18" s="8">
        <v>14</v>
      </c>
      <c r="B18" s="9" t="s">
        <v>55</v>
      </c>
      <c r="C18" s="9" t="s">
        <v>473</v>
      </c>
      <c r="D18" s="9" t="s">
        <v>474</v>
      </c>
      <c r="E18" s="10" t="s">
        <v>448</v>
      </c>
      <c r="F18" s="36">
        <v>46300</v>
      </c>
      <c r="G18" s="20">
        <f t="shared" si="0"/>
        <v>46239</v>
      </c>
      <c r="H18" s="20">
        <f t="shared" si="1"/>
        <v>46293</v>
      </c>
      <c r="I18" s="20">
        <f t="shared" si="2"/>
        <v>46298</v>
      </c>
      <c r="J18" s="21">
        <f t="shared" si="3"/>
        <v>46298</v>
      </c>
      <c r="K18" s="14" t="str">
        <f t="shared" ca="1" si="4"/>
        <v>🟢 В порядке</v>
      </c>
      <c r="L18" s="8"/>
    </row>
    <row r="19" spans="1:12" ht="21.95" customHeight="1" x14ac:dyDescent="0.3">
      <c r="A19" s="1">
        <v>15</v>
      </c>
      <c r="B19" s="2" t="s">
        <v>55</v>
      </c>
      <c r="C19" s="2" t="s">
        <v>475</v>
      </c>
      <c r="D19" s="2" t="s">
        <v>476</v>
      </c>
      <c r="E19" s="3" t="s">
        <v>448</v>
      </c>
      <c r="F19" s="36">
        <v>46178</v>
      </c>
      <c r="G19" s="19">
        <f t="shared" si="0"/>
        <v>46117</v>
      </c>
      <c r="H19" s="19">
        <f t="shared" si="1"/>
        <v>46171</v>
      </c>
      <c r="I19" s="19">
        <f t="shared" si="2"/>
        <v>46176</v>
      </c>
      <c r="J19" s="21">
        <f t="shared" si="3"/>
        <v>46176</v>
      </c>
      <c r="K19" s="14" t="str">
        <f t="shared" ca="1" si="4"/>
        <v>🟢 В порядке</v>
      </c>
      <c r="L19" s="1"/>
    </row>
    <row r="20" spans="1:12" ht="21.95" customHeight="1" x14ac:dyDescent="0.3">
      <c r="A20" s="8">
        <v>16</v>
      </c>
      <c r="B20" s="9" t="s">
        <v>64</v>
      </c>
      <c r="C20" s="9" t="s">
        <v>477</v>
      </c>
      <c r="D20" s="9" t="s">
        <v>478</v>
      </c>
      <c r="E20" s="10" t="s">
        <v>448</v>
      </c>
      <c r="F20" s="36">
        <v>46482</v>
      </c>
      <c r="G20" s="20">
        <f t="shared" si="0"/>
        <v>46423</v>
      </c>
      <c r="H20" s="20">
        <f t="shared" si="1"/>
        <v>46475</v>
      </c>
      <c r="I20" s="20">
        <f t="shared" si="2"/>
        <v>46480</v>
      </c>
      <c r="J20" s="21">
        <f t="shared" si="3"/>
        <v>46480</v>
      </c>
      <c r="K20" s="14" t="str">
        <f t="shared" ca="1" si="4"/>
        <v>🟢 В порядке</v>
      </c>
      <c r="L20" s="8"/>
    </row>
    <row r="21" spans="1:12" ht="21.95" customHeight="1" x14ac:dyDescent="0.3">
      <c r="A21" s="1">
        <v>17</v>
      </c>
      <c r="B21" s="2" t="s">
        <v>64</v>
      </c>
      <c r="C21" s="2" t="s">
        <v>479</v>
      </c>
      <c r="D21" s="2" t="s">
        <v>480</v>
      </c>
      <c r="E21" s="3" t="s">
        <v>448</v>
      </c>
      <c r="F21" s="36">
        <v>46392</v>
      </c>
      <c r="G21" s="19">
        <f t="shared" si="0"/>
        <v>46331</v>
      </c>
      <c r="H21" s="19">
        <f t="shared" si="1"/>
        <v>46385</v>
      </c>
      <c r="I21" s="19">
        <f t="shared" si="2"/>
        <v>46390</v>
      </c>
      <c r="J21" s="21">
        <f t="shared" si="3"/>
        <v>46390</v>
      </c>
      <c r="K21" s="14" t="str">
        <f t="shared" ca="1" si="4"/>
        <v>🟢 В порядке</v>
      </c>
      <c r="L21" s="1"/>
    </row>
    <row r="22" spans="1:12" ht="21.95" customHeight="1" x14ac:dyDescent="0.3">
      <c r="A22" s="8">
        <v>18</v>
      </c>
      <c r="B22" s="9" t="s">
        <v>69</v>
      </c>
      <c r="C22" s="9" t="s">
        <v>481</v>
      </c>
      <c r="D22" s="9" t="s">
        <v>482</v>
      </c>
      <c r="E22" s="10" t="s">
        <v>448</v>
      </c>
      <c r="F22" s="36">
        <v>46208</v>
      </c>
      <c r="G22" s="20">
        <f t="shared" si="0"/>
        <v>46147</v>
      </c>
      <c r="H22" s="20">
        <f t="shared" si="1"/>
        <v>46201</v>
      </c>
      <c r="I22" s="20">
        <f t="shared" si="2"/>
        <v>46206</v>
      </c>
      <c r="J22" s="21">
        <f t="shared" si="3"/>
        <v>46206</v>
      </c>
      <c r="K22" s="14" t="str">
        <f t="shared" ca="1" si="4"/>
        <v>🟢 В порядке</v>
      </c>
      <c r="L22" s="8"/>
    </row>
    <row r="23" spans="1:12" ht="21.95" customHeight="1" x14ac:dyDescent="0.3">
      <c r="A23" s="1">
        <v>19</v>
      </c>
      <c r="B23" s="2" t="s">
        <v>69</v>
      </c>
      <c r="C23" s="2" t="s">
        <v>483</v>
      </c>
      <c r="D23" s="2" t="s">
        <v>484</v>
      </c>
      <c r="E23" s="3" t="s">
        <v>448</v>
      </c>
      <c r="F23" s="36">
        <v>46239</v>
      </c>
      <c r="G23" s="19">
        <f t="shared" si="0"/>
        <v>46178</v>
      </c>
      <c r="H23" s="19">
        <f t="shared" si="1"/>
        <v>46232</v>
      </c>
      <c r="I23" s="19">
        <f t="shared" si="2"/>
        <v>46237</v>
      </c>
      <c r="J23" s="21">
        <f t="shared" si="3"/>
        <v>46237</v>
      </c>
      <c r="K23" s="14" t="str">
        <f t="shared" ca="1" si="4"/>
        <v>🟢 В порядке</v>
      </c>
      <c r="L23" s="1"/>
    </row>
    <row r="24" spans="1:12" ht="21.95" customHeight="1" x14ac:dyDescent="0.3">
      <c r="A24" s="8">
        <v>20</v>
      </c>
      <c r="B24" s="9" t="s">
        <v>74</v>
      </c>
      <c r="C24" s="9" t="s">
        <v>485</v>
      </c>
      <c r="D24" s="9" t="s">
        <v>486</v>
      </c>
      <c r="E24" s="10" t="s">
        <v>448</v>
      </c>
      <c r="F24" s="36">
        <v>46183</v>
      </c>
      <c r="G24" s="20">
        <f t="shared" si="0"/>
        <v>46122</v>
      </c>
      <c r="H24" s="20">
        <f t="shared" si="1"/>
        <v>46176</v>
      </c>
      <c r="I24" s="20">
        <f t="shared" si="2"/>
        <v>46181</v>
      </c>
      <c r="J24" s="21">
        <f t="shared" si="3"/>
        <v>46181</v>
      </c>
      <c r="K24" s="14" t="str">
        <f t="shared" ca="1" si="4"/>
        <v>🟢 В порядке</v>
      </c>
      <c r="L24" s="8"/>
    </row>
    <row r="25" spans="1:12" ht="21.95" customHeight="1" x14ac:dyDescent="0.3">
      <c r="A25" s="1">
        <v>21</v>
      </c>
      <c r="B25" s="2" t="s">
        <v>74</v>
      </c>
      <c r="C25" s="2" t="s">
        <v>487</v>
      </c>
      <c r="D25" s="2" t="s">
        <v>488</v>
      </c>
      <c r="E25" s="3" t="s">
        <v>448</v>
      </c>
      <c r="F25" s="36">
        <v>46178</v>
      </c>
      <c r="G25" s="19">
        <f t="shared" si="0"/>
        <v>46117</v>
      </c>
      <c r="H25" s="19">
        <f t="shared" si="1"/>
        <v>46171</v>
      </c>
      <c r="I25" s="19">
        <f t="shared" si="2"/>
        <v>46176</v>
      </c>
      <c r="J25" s="21">
        <f t="shared" si="3"/>
        <v>46176</v>
      </c>
      <c r="K25" s="14" t="str">
        <f t="shared" ca="1" si="4"/>
        <v>🟢 В порядке</v>
      </c>
      <c r="L25" s="1"/>
    </row>
    <row r="26" spans="1:12" ht="21.95" customHeight="1" x14ac:dyDescent="0.3">
      <c r="A26" s="8">
        <v>22</v>
      </c>
      <c r="B26" s="9" t="s">
        <v>74</v>
      </c>
      <c r="C26" s="9" t="s">
        <v>489</v>
      </c>
      <c r="D26" s="9" t="s">
        <v>490</v>
      </c>
      <c r="E26" s="10" t="s">
        <v>448</v>
      </c>
      <c r="F26" s="36">
        <v>46239</v>
      </c>
      <c r="G26" s="20">
        <f t="shared" si="0"/>
        <v>46178</v>
      </c>
      <c r="H26" s="20">
        <f t="shared" si="1"/>
        <v>46232</v>
      </c>
      <c r="I26" s="20">
        <f t="shared" si="2"/>
        <v>46237</v>
      </c>
      <c r="J26" s="21">
        <f t="shared" si="3"/>
        <v>46237</v>
      </c>
      <c r="K26" s="14" t="str">
        <f t="shared" ca="1" si="4"/>
        <v>🟢 В порядке</v>
      </c>
      <c r="L26" s="8"/>
    </row>
    <row r="27" spans="1:12" ht="21.95" customHeight="1" x14ac:dyDescent="0.3">
      <c r="A27" s="1">
        <v>23</v>
      </c>
      <c r="B27" s="2" t="s">
        <v>79</v>
      </c>
      <c r="C27" s="2" t="s">
        <v>491</v>
      </c>
      <c r="D27" s="2" t="s">
        <v>492</v>
      </c>
      <c r="E27" s="3" t="s">
        <v>448</v>
      </c>
      <c r="F27" s="36">
        <v>46208</v>
      </c>
      <c r="G27" s="19">
        <f t="shared" si="0"/>
        <v>46147</v>
      </c>
      <c r="H27" s="19">
        <f t="shared" si="1"/>
        <v>46201</v>
      </c>
      <c r="I27" s="19">
        <f t="shared" si="2"/>
        <v>46206</v>
      </c>
      <c r="J27" s="21">
        <f t="shared" si="3"/>
        <v>46206</v>
      </c>
      <c r="K27" s="14" t="str">
        <f t="shared" ca="1" si="4"/>
        <v>🟢 В порядке</v>
      </c>
      <c r="L27" s="1"/>
    </row>
    <row r="28" spans="1:12" ht="21.95" customHeight="1" x14ac:dyDescent="0.3">
      <c r="A28" s="8">
        <v>24</v>
      </c>
      <c r="B28" s="9" t="s">
        <v>79</v>
      </c>
      <c r="C28" s="9" t="s">
        <v>493</v>
      </c>
      <c r="D28" s="9" t="s">
        <v>494</v>
      </c>
      <c r="E28" s="10" t="s">
        <v>448</v>
      </c>
      <c r="F28" s="36">
        <v>46482</v>
      </c>
      <c r="G28" s="20">
        <f t="shared" si="0"/>
        <v>46423</v>
      </c>
      <c r="H28" s="20">
        <f t="shared" si="1"/>
        <v>46475</v>
      </c>
      <c r="I28" s="20">
        <f t="shared" si="2"/>
        <v>46480</v>
      </c>
      <c r="J28" s="21">
        <f t="shared" si="3"/>
        <v>46480</v>
      </c>
      <c r="K28" s="14" t="str">
        <f t="shared" ca="1" si="4"/>
        <v>🟢 В порядке</v>
      </c>
      <c r="L28" s="8"/>
    </row>
    <row r="29" spans="1:12" ht="21.95" customHeight="1" x14ac:dyDescent="0.3">
      <c r="A29" s="1">
        <v>25</v>
      </c>
      <c r="B29" s="2" t="s">
        <v>84</v>
      </c>
      <c r="C29" s="2" t="s">
        <v>495</v>
      </c>
      <c r="D29" s="2" t="s">
        <v>496</v>
      </c>
      <c r="E29" s="3" t="s">
        <v>448</v>
      </c>
      <c r="F29" s="36">
        <v>46208</v>
      </c>
      <c r="G29" s="19">
        <f t="shared" si="0"/>
        <v>46147</v>
      </c>
      <c r="H29" s="19">
        <f t="shared" si="1"/>
        <v>46201</v>
      </c>
      <c r="I29" s="19">
        <f t="shared" si="2"/>
        <v>46206</v>
      </c>
      <c r="J29" s="21">
        <f t="shared" si="3"/>
        <v>46206</v>
      </c>
      <c r="K29" s="14" t="str">
        <f t="shared" ca="1" si="4"/>
        <v>🟢 В порядке</v>
      </c>
      <c r="L29" s="1"/>
    </row>
    <row r="30" spans="1:12" ht="21.95" customHeight="1" x14ac:dyDescent="0.3">
      <c r="A30" s="8">
        <v>26</v>
      </c>
      <c r="B30" s="9" t="s">
        <v>84</v>
      </c>
      <c r="C30" s="9" t="s">
        <v>497</v>
      </c>
      <c r="D30" s="9" t="s">
        <v>498</v>
      </c>
      <c r="E30" s="10" t="s">
        <v>448</v>
      </c>
      <c r="F30" s="36">
        <v>46239</v>
      </c>
      <c r="G30" s="20">
        <f t="shared" si="0"/>
        <v>46178</v>
      </c>
      <c r="H30" s="20">
        <f t="shared" si="1"/>
        <v>46232</v>
      </c>
      <c r="I30" s="20">
        <f t="shared" si="2"/>
        <v>46237</v>
      </c>
      <c r="J30" s="21">
        <f t="shared" si="3"/>
        <v>46237</v>
      </c>
      <c r="K30" s="14" t="str">
        <f t="shared" ca="1" si="4"/>
        <v>🟢 В порядке</v>
      </c>
      <c r="L30" s="8"/>
    </row>
    <row r="31" spans="1:12" ht="21.95" customHeight="1" x14ac:dyDescent="0.3">
      <c r="A31" s="1">
        <v>27</v>
      </c>
      <c r="B31" s="2" t="s">
        <v>89</v>
      </c>
      <c r="C31" s="2" t="s">
        <v>499</v>
      </c>
      <c r="D31" s="2" t="s">
        <v>500</v>
      </c>
      <c r="E31" s="3" t="s">
        <v>448</v>
      </c>
      <c r="F31" s="36">
        <v>46190</v>
      </c>
      <c r="G31" s="19">
        <f t="shared" si="0"/>
        <v>46129</v>
      </c>
      <c r="H31" s="19">
        <f t="shared" si="1"/>
        <v>46183</v>
      </c>
      <c r="I31" s="19">
        <f t="shared" si="2"/>
        <v>46188</v>
      </c>
      <c r="J31" s="21">
        <f t="shared" si="3"/>
        <v>46188</v>
      </c>
      <c r="K31" s="14" t="str">
        <f t="shared" ca="1" si="4"/>
        <v>🟢 В порядке</v>
      </c>
      <c r="L31" s="1"/>
    </row>
    <row r="32" spans="1:12" ht="21.95" customHeight="1" x14ac:dyDescent="0.3">
      <c r="A32" s="8">
        <v>28</v>
      </c>
      <c r="B32" s="9" t="s">
        <v>89</v>
      </c>
      <c r="C32" s="9" t="s">
        <v>501</v>
      </c>
      <c r="D32" s="9" t="s">
        <v>502</v>
      </c>
      <c r="E32" s="10" t="s">
        <v>448</v>
      </c>
      <c r="F32" s="36">
        <v>46191</v>
      </c>
      <c r="G32" s="20">
        <f t="shared" si="0"/>
        <v>46130</v>
      </c>
      <c r="H32" s="20">
        <f t="shared" si="1"/>
        <v>46184</v>
      </c>
      <c r="I32" s="20">
        <f t="shared" si="2"/>
        <v>46189</v>
      </c>
      <c r="J32" s="21">
        <f t="shared" si="3"/>
        <v>46189</v>
      </c>
      <c r="K32" s="14" t="str">
        <f t="shared" ca="1" si="4"/>
        <v>🟢 В порядке</v>
      </c>
      <c r="L32" s="8"/>
    </row>
    <row r="33" spans="1:12" ht="21.95" customHeight="1" x14ac:dyDescent="0.3">
      <c r="A33" s="1">
        <v>29</v>
      </c>
      <c r="B33" s="2" t="s">
        <v>94</v>
      </c>
      <c r="C33" s="2" t="s">
        <v>503</v>
      </c>
      <c r="D33" s="2" t="s">
        <v>504</v>
      </c>
      <c r="E33" s="3" t="s">
        <v>448</v>
      </c>
      <c r="F33" s="36">
        <v>46192</v>
      </c>
      <c r="G33" s="19">
        <f t="shared" si="0"/>
        <v>46131</v>
      </c>
      <c r="H33" s="19">
        <f t="shared" si="1"/>
        <v>46185</v>
      </c>
      <c r="I33" s="19">
        <f t="shared" si="2"/>
        <v>46190</v>
      </c>
      <c r="J33" s="21">
        <f t="shared" si="3"/>
        <v>46190</v>
      </c>
      <c r="K33" s="14" t="str">
        <f t="shared" ca="1" si="4"/>
        <v>🟢 В порядке</v>
      </c>
      <c r="L33" s="1"/>
    </row>
    <row r="34" spans="1:12" ht="21.95" customHeight="1" x14ac:dyDescent="0.3">
      <c r="A34" s="8">
        <v>30</v>
      </c>
      <c r="B34" s="9" t="s">
        <v>94</v>
      </c>
      <c r="C34" s="9" t="s">
        <v>505</v>
      </c>
      <c r="D34" s="9" t="s">
        <v>506</v>
      </c>
      <c r="E34" s="10" t="s">
        <v>448</v>
      </c>
      <c r="F34" s="36">
        <v>46193</v>
      </c>
      <c r="G34" s="20">
        <f t="shared" si="0"/>
        <v>46132</v>
      </c>
      <c r="H34" s="20">
        <f t="shared" si="1"/>
        <v>46186</v>
      </c>
      <c r="I34" s="20">
        <f t="shared" si="2"/>
        <v>46191</v>
      </c>
      <c r="J34" s="21">
        <f t="shared" si="3"/>
        <v>46191</v>
      </c>
      <c r="K34" s="14" t="str">
        <f t="shared" ca="1" si="4"/>
        <v>🟢 В порядке</v>
      </c>
      <c r="L34" s="8"/>
    </row>
    <row r="35" spans="1:12" ht="21.95" customHeight="1" x14ac:dyDescent="0.3">
      <c r="A35" s="1">
        <v>31</v>
      </c>
      <c r="B35" s="2" t="s">
        <v>99</v>
      </c>
      <c r="C35" s="2" t="s">
        <v>507</v>
      </c>
      <c r="D35" s="2" t="s">
        <v>508</v>
      </c>
      <c r="E35" s="3" t="s">
        <v>448</v>
      </c>
      <c r="F35" s="36">
        <v>46194</v>
      </c>
      <c r="G35" s="19">
        <f t="shared" si="0"/>
        <v>46133</v>
      </c>
      <c r="H35" s="19">
        <f t="shared" si="1"/>
        <v>46187</v>
      </c>
      <c r="I35" s="19">
        <f t="shared" si="2"/>
        <v>46192</v>
      </c>
      <c r="J35" s="21">
        <f t="shared" si="3"/>
        <v>46192</v>
      </c>
      <c r="K35" s="14" t="str">
        <f t="shared" ca="1" si="4"/>
        <v>🟢 В порядке</v>
      </c>
      <c r="L35" s="1"/>
    </row>
    <row r="36" spans="1:12" ht="21.95" customHeight="1" x14ac:dyDescent="0.3">
      <c r="A36" s="8">
        <v>32</v>
      </c>
      <c r="B36" s="9" t="s">
        <v>106</v>
      </c>
      <c r="C36" s="9" t="s">
        <v>509</v>
      </c>
      <c r="D36" s="9" t="s">
        <v>510</v>
      </c>
      <c r="E36" s="10" t="s">
        <v>448</v>
      </c>
      <c r="F36" s="36">
        <v>46482</v>
      </c>
      <c r="G36" s="20">
        <f t="shared" si="0"/>
        <v>46423</v>
      </c>
      <c r="H36" s="20">
        <f t="shared" si="1"/>
        <v>46475</v>
      </c>
      <c r="I36" s="20">
        <f t="shared" si="2"/>
        <v>46480</v>
      </c>
      <c r="J36" s="21">
        <f t="shared" si="3"/>
        <v>46480</v>
      </c>
      <c r="K36" s="14" t="str">
        <f t="shared" ca="1" si="4"/>
        <v>🟢 В порядке</v>
      </c>
      <c r="L36" s="8"/>
    </row>
    <row r="37" spans="1:12" ht="21.95" customHeight="1" x14ac:dyDescent="0.3">
      <c r="A37" s="1">
        <v>33</v>
      </c>
      <c r="B37" s="2" t="s">
        <v>106</v>
      </c>
      <c r="C37" s="2" t="s">
        <v>511</v>
      </c>
      <c r="D37" s="2" t="s">
        <v>512</v>
      </c>
      <c r="E37" s="3" t="s">
        <v>448</v>
      </c>
      <c r="F37" s="36">
        <v>46451</v>
      </c>
      <c r="G37" s="19">
        <f t="shared" ref="G37:G68" si="5">IF(F37="","",DATE(YEAR(F37),MONTH(F37)-2,DAY(F37)))</f>
        <v>46392</v>
      </c>
      <c r="H37" s="19">
        <f t="shared" ref="H37:H68" si="6">IF(F37="","",F37-7)</f>
        <v>46444</v>
      </c>
      <c r="I37" s="19">
        <f t="shared" ref="I37:I68" si="7">IF(F37="","",F37-2)</f>
        <v>46449</v>
      </c>
      <c r="J37" s="21">
        <f t="shared" ref="J37:J68" si="8">IF(E37="","",F37-2)</f>
        <v>46449</v>
      </c>
      <c r="K37" s="14" t="str">
        <f t="shared" ref="K37:K68" ca="1" si="9">IF(F37="","❓ Не указана",IF(F37&lt;TODAY(),"🔴 Просрочена",IF(J37&lt;=TODAY(),"🔴 Просрочена скоро",IF(I37&lt;=TODAY(),"🟡 Скоро (-7 дн.)",IF(H37&lt;=TODAY(),"🟡 Скоро (-1 мес.)",IF(G37&lt;=TODAY(),"🟡 Скоро (-2 мес.)","🟢 В порядке"))))))</f>
        <v>🟢 В порядке</v>
      </c>
      <c r="L37" s="1"/>
    </row>
    <row r="38" spans="1:12" ht="21.95" customHeight="1" x14ac:dyDescent="0.3">
      <c r="A38" s="8">
        <v>34</v>
      </c>
      <c r="B38" s="9" t="s">
        <v>113</v>
      </c>
      <c r="C38" s="9" t="s">
        <v>513</v>
      </c>
      <c r="D38" s="9" t="s">
        <v>514</v>
      </c>
      <c r="E38" s="10" t="s">
        <v>448</v>
      </c>
      <c r="F38" s="36">
        <v>46451</v>
      </c>
      <c r="G38" s="20">
        <f t="shared" si="5"/>
        <v>46392</v>
      </c>
      <c r="H38" s="20">
        <f t="shared" si="6"/>
        <v>46444</v>
      </c>
      <c r="I38" s="20">
        <f t="shared" si="7"/>
        <v>46449</v>
      </c>
      <c r="J38" s="21">
        <f t="shared" si="8"/>
        <v>46449</v>
      </c>
      <c r="K38" s="14" t="str">
        <f t="shared" ca="1" si="9"/>
        <v>🟢 В порядке</v>
      </c>
      <c r="L38" s="8"/>
    </row>
    <row r="39" spans="1:12" ht="21.95" customHeight="1" x14ac:dyDescent="0.3">
      <c r="A39" s="1">
        <v>35</v>
      </c>
      <c r="B39" s="2" t="s">
        <v>113</v>
      </c>
      <c r="C39" s="2" t="s">
        <v>515</v>
      </c>
      <c r="D39" s="2" t="s">
        <v>516</v>
      </c>
      <c r="E39" s="3" t="s">
        <v>448</v>
      </c>
      <c r="F39" s="36">
        <v>46451</v>
      </c>
      <c r="G39" s="19">
        <f t="shared" si="5"/>
        <v>46392</v>
      </c>
      <c r="H39" s="19">
        <f t="shared" si="6"/>
        <v>46444</v>
      </c>
      <c r="I39" s="19">
        <f t="shared" si="7"/>
        <v>46449</v>
      </c>
      <c r="J39" s="21">
        <f t="shared" si="8"/>
        <v>46449</v>
      </c>
      <c r="K39" s="14" t="str">
        <f t="shared" ca="1" si="9"/>
        <v>🟢 В порядке</v>
      </c>
      <c r="L39" s="1"/>
    </row>
    <row r="40" spans="1:12" ht="21.95" customHeight="1" x14ac:dyDescent="0.3">
      <c r="A40" s="8">
        <v>36</v>
      </c>
      <c r="B40" s="9" t="s">
        <v>118</v>
      </c>
      <c r="C40" s="9" t="s">
        <v>517</v>
      </c>
      <c r="D40" s="9" t="s">
        <v>518</v>
      </c>
      <c r="E40" s="10" t="s">
        <v>448</v>
      </c>
      <c r="F40" s="36">
        <v>46199</v>
      </c>
      <c r="G40" s="20">
        <f t="shared" si="5"/>
        <v>46138</v>
      </c>
      <c r="H40" s="20">
        <f t="shared" si="6"/>
        <v>46192</v>
      </c>
      <c r="I40" s="20">
        <f t="shared" si="7"/>
        <v>46197</v>
      </c>
      <c r="J40" s="21">
        <f t="shared" si="8"/>
        <v>46197</v>
      </c>
      <c r="K40" s="14" t="str">
        <f t="shared" ca="1" si="9"/>
        <v>🟢 В порядке</v>
      </c>
      <c r="L40" s="8"/>
    </row>
    <row r="41" spans="1:12" ht="21.95" customHeight="1" x14ac:dyDescent="0.3">
      <c r="A41" s="1">
        <v>37</v>
      </c>
      <c r="B41" s="2" t="s">
        <v>118</v>
      </c>
      <c r="C41" s="2" t="s">
        <v>519</v>
      </c>
      <c r="D41" s="2" t="s">
        <v>520</v>
      </c>
      <c r="E41" s="3" t="s">
        <v>448</v>
      </c>
      <c r="F41" s="36">
        <v>46482</v>
      </c>
      <c r="G41" s="19">
        <f t="shared" si="5"/>
        <v>46423</v>
      </c>
      <c r="H41" s="19">
        <f t="shared" si="6"/>
        <v>46475</v>
      </c>
      <c r="I41" s="19">
        <f t="shared" si="7"/>
        <v>46480</v>
      </c>
      <c r="J41" s="21">
        <f t="shared" si="8"/>
        <v>46480</v>
      </c>
      <c r="K41" s="14" t="str">
        <f t="shared" ca="1" si="9"/>
        <v>🟢 В порядке</v>
      </c>
      <c r="L41" s="1"/>
    </row>
    <row r="42" spans="1:12" ht="21.95" customHeight="1" x14ac:dyDescent="0.3">
      <c r="A42" s="8">
        <v>38</v>
      </c>
      <c r="B42" s="9" t="s">
        <v>123</v>
      </c>
      <c r="C42" s="9" t="s">
        <v>521</v>
      </c>
      <c r="D42" s="9" t="s">
        <v>522</v>
      </c>
      <c r="E42" s="10" t="s">
        <v>448</v>
      </c>
      <c r="F42" s="36">
        <v>46178</v>
      </c>
      <c r="G42" s="20">
        <f t="shared" si="5"/>
        <v>46117</v>
      </c>
      <c r="H42" s="20">
        <f t="shared" si="6"/>
        <v>46171</v>
      </c>
      <c r="I42" s="20">
        <f t="shared" si="7"/>
        <v>46176</v>
      </c>
      <c r="J42" s="21">
        <f t="shared" si="8"/>
        <v>46176</v>
      </c>
      <c r="K42" s="14" t="str">
        <f t="shared" ca="1" si="9"/>
        <v>🟢 В порядке</v>
      </c>
      <c r="L42" s="8"/>
    </row>
    <row r="43" spans="1:12" ht="21.95" customHeight="1" x14ac:dyDescent="0.3">
      <c r="A43" s="1">
        <v>39</v>
      </c>
      <c r="B43" s="2" t="s">
        <v>123</v>
      </c>
      <c r="C43" s="2" t="s">
        <v>523</v>
      </c>
      <c r="D43" s="2" t="s">
        <v>524</v>
      </c>
      <c r="E43" s="3" t="s">
        <v>448</v>
      </c>
      <c r="F43" s="36">
        <v>46451</v>
      </c>
      <c r="G43" s="19">
        <f t="shared" si="5"/>
        <v>46392</v>
      </c>
      <c r="H43" s="19">
        <f t="shared" si="6"/>
        <v>46444</v>
      </c>
      <c r="I43" s="19">
        <f t="shared" si="7"/>
        <v>46449</v>
      </c>
      <c r="J43" s="21">
        <f t="shared" si="8"/>
        <v>46449</v>
      </c>
      <c r="K43" s="14" t="str">
        <f t="shared" ca="1" si="9"/>
        <v>🟢 В порядке</v>
      </c>
      <c r="L43" s="1"/>
    </row>
    <row r="44" spans="1:12" ht="21.95" customHeight="1" x14ac:dyDescent="0.3">
      <c r="A44" s="8">
        <v>40</v>
      </c>
      <c r="B44" s="9" t="s">
        <v>123</v>
      </c>
      <c r="C44" s="9" t="s">
        <v>525</v>
      </c>
      <c r="D44" s="9" t="s">
        <v>526</v>
      </c>
      <c r="E44" s="10" t="s">
        <v>448</v>
      </c>
      <c r="F44" s="36">
        <v>46203</v>
      </c>
      <c r="G44" s="20">
        <f t="shared" si="5"/>
        <v>46142</v>
      </c>
      <c r="H44" s="20">
        <f t="shared" si="6"/>
        <v>46196</v>
      </c>
      <c r="I44" s="20">
        <f t="shared" si="7"/>
        <v>46201</v>
      </c>
      <c r="J44" s="21">
        <f t="shared" si="8"/>
        <v>46201</v>
      </c>
      <c r="K44" s="14" t="str">
        <f t="shared" ca="1" si="9"/>
        <v>🟢 В порядке</v>
      </c>
      <c r="L44" s="8"/>
    </row>
    <row r="45" spans="1:12" ht="21.95" customHeight="1" x14ac:dyDescent="0.3">
      <c r="A45" s="1">
        <v>41</v>
      </c>
      <c r="B45" s="2" t="s">
        <v>123</v>
      </c>
      <c r="C45" s="2" t="s">
        <v>527</v>
      </c>
      <c r="D45" s="2" t="s">
        <v>528</v>
      </c>
      <c r="E45" s="3" t="s">
        <v>448</v>
      </c>
      <c r="F45" s="36">
        <v>46178</v>
      </c>
      <c r="G45" s="19">
        <f t="shared" si="5"/>
        <v>46117</v>
      </c>
      <c r="H45" s="19">
        <f t="shared" si="6"/>
        <v>46171</v>
      </c>
      <c r="I45" s="19">
        <f t="shared" si="7"/>
        <v>46176</v>
      </c>
      <c r="J45" s="21">
        <f t="shared" si="8"/>
        <v>46176</v>
      </c>
      <c r="K45" s="14" t="str">
        <f t="shared" ca="1" si="9"/>
        <v>🟢 В порядке</v>
      </c>
      <c r="L45" s="1"/>
    </row>
    <row r="46" spans="1:12" ht="21.95" customHeight="1" x14ac:dyDescent="0.3">
      <c r="A46" s="8">
        <v>42</v>
      </c>
      <c r="B46" s="9" t="s">
        <v>123</v>
      </c>
      <c r="C46" s="9" t="s">
        <v>529</v>
      </c>
      <c r="D46" s="9" t="s">
        <v>530</v>
      </c>
      <c r="E46" s="10" t="s">
        <v>448</v>
      </c>
      <c r="F46" s="36">
        <v>46482</v>
      </c>
      <c r="G46" s="20">
        <f t="shared" si="5"/>
        <v>46423</v>
      </c>
      <c r="H46" s="20">
        <f t="shared" si="6"/>
        <v>46475</v>
      </c>
      <c r="I46" s="20">
        <f t="shared" si="7"/>
        <v>46480</v>
      </c>
      <c r="J46" s="21">
        <f t="shared" si="8"/>
        <v>46480</v>
      </c>
      <c r="K46" s="14" t="str">
        <f t="shared" ca="1" si="9"/>
        <v>🟢 В порядке</v>
      </c>
      <c r="L46" s="8"/>
    </row>
    <row r="47" spans="1:12" ht="21.95" customHeight="1" x14ac:dyDescent="0.3">
      <c r="A47" s="1">
        <v>43</v>
      </c>
      <c r="B47" s="2" t="s">
        <v>123</v>
      </c>
      <c r="C47" s="2" t="s">
        <v>531</v>
      </c>
      <c r="D47" s="2" t="s">
        <v>532</v>
      </c>
      <c r="E47" s="3" t="s">
        <v>448</v>
      </c>
      <c r="F47" s="36">
        <v>46451</v>
      </c>
      <c r="G47" s="19">
        <f t="shared" si="5"/>
        <v>46392</v>
      </c>
      <c r="H47" s="19">
        <f t="shared" si="6"/>
        <v>46444</v>
      </c>
      <c r="I47" s="19">
        <f t="shared" si="7"/>
        <v>46449</v>
      </c>
      <c r="J47" s="21">
        <f t="shared" si="8"/>
        <v>46449</v>
      </c>
      <c r="K47" s="14" t="str">
        <f t="shared" ca="1" si="9"/>
        <v>🟢 В порядке</v>
      </c>
      <c r="L47" s="1"/>
    </row>
    <row r="48" spans="1:12" ht="21.95" customHeight="1" x14ac:dyDescent="0.3">
      <c r="A48" s="8">
        <v>44</v>
      </c>
      <c r="B48" s="9" t="s">
        <v>533</v>
      </c>
      <c r="C48" s="9" t="s">
        <v>534</v>
      </c>
      <c r="D48" s="9" t="s">
        <v>535</v>
      </c>
      <c r="E48" s="10" t="s">
        <v>448</v>
      </c>
      <c r="F48" s="36">
        <v>46207</v>
      </c>
      <c r="G48" s="20">
        <f t="shared" si="5"/>
        <v>46146</v>
      </c>
      <c r="H48" s="20">
        <f t="shared" si="6"/>
        <v>46200</v>
      </c>
      <c r="I48" s="20">
        <f t="shared" si="7"/>
        <v>46205</v>
      </c>
      <c r="J48" s="21">
        <f t="shared" si="8"/>
        <v>46205</v>
      </c>
      <c r="K48" s="14" t="str">
        <f t="shared" ca="1" si="9"/>
        <v>🟢 В порядке</v>
      </c>
      <c r="L48" s="8"/>
    </row>
    <row r="49" spans="1:12" ht="21.95" customHeight="1" x14ac:dyDescent="0.3">
      <c r="A49" s="1">
        <v>45</v>
      </c>
      <c r="B49" s="2" t="s">
        <v>533</v>
      </c>
      <c r="C49" s="2" t="s">
        <v>536</v>
      </c>
      <c r="D49" s="2" t="s">
        <v>537</v>
      </c>
      <c r="E49" s="3" t="s">
        <v>448</v>
      </c>
      <c r="F49" s="36">
        <v>46451</v>
      </c>
      <c r="G49" s="19">
        <f t="shared" si="5"/>
        <v>46392</v>
      </c>
      <c r="H49" s="19">
        <f t="shared" si="6"/>
        <v>46444</v>
      </c>
      <c r="I49" s="19">
        <f t="shared" si="7"/>
        <v>46449</v>
      </c>
      <c r="J49" s="21">
        <f t="shared" si="8"/>
        <v>46449</v>
      </c>
      <c r="K49" s="14" t="str">
        <f t="shared" ca="1" si="9"/>
        <v>🟢 В порядке</v>
      </c>
      <c r="L49" s="1"/>
    </row>
    <row r="50" spans="1:12" ht="21.95" customHeight="1" x14ac:dyDescent="0.3">
      <c r="A50" s="8">
        <v>46</v>
      </c>
      <c r="B50" s="9" t="s">
        <v>148</v>
      </c>
      <c r="C50" s="9" t="s">
        <v>538</v>
      </c>
      <c r="D50" s="9" t="s">
        <v>539</v>
      </c>
      <c r="E50" s="10" t="s">
        <v>448</v>
      </c>
      <c r="F50" s="36">
        <v>46239</v>
      </c>
      <c r="G50" s="20">
        <f t="shared" si="5"/>
        <v>46178</v>
      </c>
      <c r="H50" s="20">
        <f t="shared" si="6"/>
        <v>46232</v>
      </c>
      <c r="I50" s="20">
        <f t="shared" si="7"/>
        <v>46237</v>
      </c>
      <c r="J50" s="21">
        <f t="shared" si="8"/>
        <v>46237</v>
      </c>
      <c r="K50" s="14" t="str">
        <f t="shared" ca="1" si="9"/>
        <v>🟢 В порядке</v>
      </c>
      <c r="L50" s="8"/>
    </row>
    <row r="51" spans="1:12" ht="21.95" customHeight="1" x14ac:dyDescent="0.3">
      <c r="A51" s="1">
        <v>47</v>
      </c>
      <c r="B51" s="2" t="s">
        <v>148</v>
      </c>
      <c r="C51" s="2" t="s">
        <v>540</v>
      </c>
      <c r="D51" s="2" t="s">
        <v>541</v>
      </c>
      <c r="E51" s="3" t="s">
        <v>448</v>
      </c>
      <c r="F51" s="36">
        <v>46239</v>
      </c>
      <c r="G51" s="19">
        <f t="shared" si="5"/>
        <v>46178</v>
      </c>
      <c r="H51" s="19">
        <f t="shared" si="6"/>
        <v>46232</v>
      </c>
      <c r="I51" s="19">
        <f t="shared" si="7"/>
        <v>46237</v>
      </c>
      <c r="J51" s="21">
        <f t="shared" si="8"/>
        <v>46237</v>
      </c>
      <c r="K51" s="14" t="str">
        <f t="shared" ca="1" si="9"/>
        <v>🟢 В порядке</v>
      </c>
      <c r="L51" s="1"/>
    </row>
    <row r="52" spans="1:12" ht="21.95" customHeight="1" x14ac:dyDescent="0.3">
      <c r="A52" s="8">
        <v>48</v>
      </c>
      <c r="B52" s="9" t="s">
        <v>151</v>
      </c>
      <c r="C52" s="9" t="s">
        <v>542</v>
      </c>
      <c r="D52" s="9" t="s">
        <v>543</v>
      </c>
      <c r="E52" s="10" t="s">
        <v>448</v>
      </c>
      <c r="F52" s="36">
        <v>46451</v>
      </c>
      <c r="G52" s="20">
        <f t="shared" si="5"/>
        <v>46392</v>
      </c>
      <c r="H52" s="20">
        <f t="shared" si="6"/>
        <v>46444</v>
      </c>
      <c r="I52" s="20">
        <f t="shared" si="7"/>
        <v>46449</v>
      </c>
      <c r="J52" s="21">
        <f t="shared" si="8"/>
        <v>46449</v>
      </c>
      <c r="K52" s="14" t="str">
        <f t="shared" ca="1" si="9"/>
        <v>🟢 В порядке</v>
      </c>
      <c r="L52" s="8"/>
    </row>
    <row r="53" spans="1:12" ht="21.95" customHeight="1" x14ac:dyDescent="0.3">
      <c r="A53" s="1">
        <v>49</v>
      </c>
      <c r="B53" s="2" t="s">
        <v>151</v>
      </c>
      <c r="C53" s="2" t="s">
        <v>544</v>
      </c>
      <c r="D53" s="2" t="s">
        <v>545</v>
      </c>
      <c r="E53" s="3" t="s">
        <v>448</v>
      </c>
      <c r="F53" s="36">
        <v>46482</v>
      </c>
      <c r="G53" s="19">
        <f t="shared" si="5"/>
        <v>46423</v>
      </c>
      <c r="H53" s="19">
        <f t="shared" si="6"/>
        <v>46475</v>
      </c>
      <c r="I53" s="19">
        <f t="shared" si="7"/>
        <v>46480</v>
      </c>
      <c r="J53" s="21">
        <f t="shared" si="8"/>
        <v>46480</v>
      </c>
      <c r="K53" s="14" t="str">
        <f t="shared" ca="1" si="9"/>
        <v>🟢 В порядке</v>
      </c>
      <c r="L53" s="1"/>
    </row>
    <row r="54" spans="1:12" ht="21.95" customHeight="1" x14ac:dyDescent="0.3">
      <c r="A54" s="8">
        <v>50</v>
      </c>
      <c r="B54" s="9" t="s">
        <v>156</v>
      </c>
      <c r="C54" s="9" t="s">
        <v>546</v>
      </c>
      <c r="D54" s="9" t="s">
        <v>547</v>
      </c>
      <c r="E54" s="10" t="s">
        <v>448</v>
      </c>
      <c r="F54" s="36">
        <v>46451</v>
      </c>
      <c r="G54" s="20">
        <f t="shared" si="5"/>
        <v>46392</v>
      </c>
      <c r="H54" s="20">
        <f t="shared" si="6"/>
        <v>46444</v>
      </c>
      <c r="I54" s="20">
        <f t="shared" si="7"/>
        <v>46449</v>
      </c>
      <c r="J54" s="21">
        <f t="shared" si="8"/>
        <v>46449</v>
      </c>
      <c r="K54" s="14" t="str">
        <f t="shared" ca="1" si="9"/>
        <v>🟢 В порядке</v>
      </c>
      <c r="L54" s="8"/>
    </row>
    <row r="55" spans="1:12" ht="21.95" customHeight="1" x14ac:dyDescent="0.3">
      <c r="A55" s="1">
        <v>51</v>
      </c>
      <c r="B55" s="2" t="s">
        <v>156</v>
      </c>
      <c r="C55" s="2" t="s">
        <v>548</v>
      </c>
      <c r="D55" s="2" t="s">
        <v>549</v>
      </c>
      <c r="E55" s="3" t="s">
        <v>448</v>
      </c>
      <c r="F55" s="36">
        <v>46208</v>
      </c>
      <c r="G55" s="19">
        <f t="shared" si="5"/>
        <v>46147</v>
      </c>
      <c r="H55" s="19">
        <f t="shared" si="6"/>
        <v>46201</v>
      </c>
      <c r="I55" s="19">
        <f t="shared" si="7"/>
        <v>46206</v>
      </c>
      <c r="J55" s="21">
        <f t="shared" si="8"/>
        <v>46206</v>
      </c>
      <c r="K55" s="14" t="str">
        <f t="shared" ca="1" si="9"/>
        <v>🟢 В порядке</v>
      </c>
      <c r="L55" s="1"/>
    </row>
    <row r="56" spans="1:12" ht="21.95" customHeight="1" x14ac:dyDescent="0.3">
      <c r="A56" s="8">
        <v>52</v>
      </c>
      <c r="B56" s="9" t="s">
        <v>163</v>
      </c>
      <c r="C56" s="9" t="s">
        <v>550</v>
      </c>
      <c r="D56" s="9" t="s">
        <v>551</v>
      </c>
      <c r="E56" s="10" t="s">
        <v>448</v>
      </c>
      <c r="F56" s="36">
        <v>46208</v>
      </c>
      <c r="G56" s="20">
        <f t="shared" si="5"/>
        <v>46147</v>
      </c>
      <c r="H56" s="20">
        <f t="shared" si="6"/>
        <v>46201</v>
      </c>
      <c r="I56" s="20">
        <f t="shared" si="7"/>
        <v>46206</v>
      </c>
      <c r="J56" s="21">
        <f t="shared" si="8"/>
        <v>46206</v>
      </c>
      <c r="K56" s="14" t="str">
        <f t="shared" ca="1" si="9"/>
        <v>🟢 В порядке</v>
      </c>
      <c r="L56" s="8"/>
    </row>
    <row r="57" spans="1:12" ht="21.95" customHeight="1" x14ac:dyDescent="0.3">
      <c r="A57" s="1">
        <v>53</v>
      </c>
      <c r="B57" s="2" t="s">
        <v>163</v>
      </c>
      <c r="C57" s="2" t="s">
        <v>552</v>
      </c>
      <c r="D57" s="2" t="s">
        <v>553</v>
      </c>
      <c r="E57" s="3" t="s">
        <v>448</v>
      </c>
      <c r="F57" s="36">
        <v>46239</v>
      </c>
      <c r="G57" s="19">
        <f t="shared" si="5"/>
        <v>46178</v>
      </c>
      <c r="H57" s="19">
        <f t="shared" si="6"/>
        <v>46232</v>
      </c>
      <c r="I57" s="19">
        <f t="shared" si="7"/>
        <v>46237</v>
      </c>
      <c r="J57" s="21">
        <f t="shared" si="8"/>
        <v>46237</v>
      </c>
      <c r="K57" s="14" t="str">
        <f t="shared" ca="1" si="9"/>
        <v>🟢 В порядке</v>
      </c>
      <c r="L57" s="1"/>
    </row>
    <row r="58" spans="1:12" ht="21.95" customHeight="1" x14ac:dyDescent="0.3">
      <c r="A58" s="8">
        <v>54</v>
      </c>
      <c r="B58" s="9" t="s">
        <v>168</v>
      </c>
      <c r="C58" s="9" t="s">
        <v>554</v>
      </c>
      <c r="D58" s="9" t="s">
        <v>555</v>
      </c>
      <c r="E58" s="10" t="s">
        <v>448</v>
      </c>
      <c r="F58" s="36">
        <v>46178</v>
      </c>
      <c r="G58" s="20">
        <f t="shared" si="5"/>
        <v>46117</v>
      </c>
      <c r="H58" s="20">
        <f t="shared" si="6"/>
        <v>46171</v>
      </c>
      <c r="I58" s="20">
        <f t="shared" si="7"/>
        <v>46176</v>
      </c>
      <c r="J58" s="21">
        <f t="shared" si="8"/>
        <v>46176</v>
      </c>
      <c r="K58" s="14" t="str">
        <f t="shared" ca="1" si="9"/>
        <v>🟢 В порядке</v>
      </c>
      <c r="L58" s="8"/>
    </row>
    <row r="59" spans="1:12" ht="21.95" customHeight="1" x14ac:dyDescent="0.3">
      <c r="A59" s="1">
        <v>55</v>
      </c>
      <c r="B59" s="2" t="s">
        <v>168</v>
      </c>
      <c r="C59" s="2" t="s">
        <v>556</v>
      </c>
      <c r="D59" s="2" t="s">
        <v>557</v>
      </c>
      <c r="E59" s="3" t="s">
        <v>448</v>
      </c>
      <c r="F59" s="36">
        <v>46178</v>
      </c>
      <c r="G59" s="19">
        <f t="shared" si="5"/>
        <v>46117</v>
      </c>
      <c r="H59" s="19">
        <f t="shared" si="6"/>
        <v>46171</v>
      </c>
      <c r="I59" s="19">
        <f t="shared" si="7"/>
        <v>46176</v>
      </c>
      <c r="J59" s="21">
        <f t="shared" si="8"/>
        <v>46176</v>
      </c>
      <c r="K59" s="14" t="str">
        <f t="shared" ca="1" si="9"/>
        <v>🟢 В порядке</v>
      </c>
      <c r="L59" s="1"/>
    </row>
    <row r="60" spans="1:12" ht="21.95" customHeight="1" x14ac:dyDescent="0.3">
      <c r="A60" s="8">
        <v>56</v>
      </c>
      <c r="B60" s="9" t="s">
        <v>175</v>
      </c>
      <c r="C60" s="9" t="s">
        <v>558</v>
      </c>
      <c r="D60" s="9" t="s">
        <v>559</v>
      </c>
      <c r="E60" s="10" t="s">
        <v>448</v>
      </c>
      <c r="F60" s="36">
        <v>46512</v>
      </c>
      <c r="G60" s="20">
        <f t="shared" si="5"/>
        <v>46451</v>
      </c>
      <c r="H60" s="20">
        <f t="shared" si="6"/>
        <v>46505</v>
      </c>
      <c r="I60" s="20">
        <f t="shared" si="7"/>
        <v>46510</v>
      </c>
      <c r="J60" s="21">
        <f t="shared" si="8"/>
        <v>46510</v>
      </c>
      <c r="K60" s="14" t="str">
        <f t="shared" ca="1" si="9"/>
        <v>🟢 В порядке</v>
      </c>
      <c r="L60" s="8"/>
    </row>
    <row r="61" spans="1:12" ht="21.95" customHeight="1" x14ac:dyDescent="0.3">
      <c r="A61" s="1">
        <v>57</v>
      </c>
      <c r="B61" s="2" t="s">
        <v>175</v>
      </c>
      <c r="C61" s="2" t="s">
        <v>560</v>
      </c>
      <c r="D61" s="2" t="s">
        <v>561</v>
      </c>
      <c r="E61" s="3" t="s">
        <v>448</v>
      </c>
      <c r="F61" s="36">
        <v>46451</v>
      </c>
      <c r="G61" s="19">
        <f t="shared" si="5"/>
        <v>46392</v>
      </c>
      <c r="H61" s="19">
        <f t="shared" si="6"/>
        <v>46444</v>
      </c>
      <c r="I61" s="19">
        <f t="shared" si="7"/>
        <v>46449</v>
      </c>
      <c r="J61" s="21">
        <f t="shared" si="8"/>
        <v>46449</v>
      </c>
      <c r="K61" s="14" t="str">
        <f t="shared" ca="1" si="9"/>
        <v>🟢 В порядке</v>
      </c>
      <c r="L61" s="1"/>
    </row>
    <row r="62" spans="1:12" ht="21.95" customHeight="1" x14ac:dyDescent="0.3">
      <c r="A62" s="8">
        <v>58</v>
      </c>
      <c r="B62" s="9" t="s">
        <v>180</v>
      </c>
      <c r="C62" s="9" t="s">
        <v>562</v>
      </c>
      <c r="D62" s="9" t="s">
        <v>563</v>
      </c>
      <c r="E62" s="10" t="s">
        <v>448</v>
      </c>
      <c r="F62" s="36">
        <v>46482</v>
      </c>
      <c r="G62" s="20">
        <f t="shared" si="5"/>
        <v>46423</v>
      </c>
      <c r="H62" s="20">
        <f t="shared" si="6"/>
        <v>46475</v>
      </c>
      <c r="I62" s="20">
        <f t="shared" si="7"/>
        <v>46480</v>
      </c>
      <c r="J62" s="21">
        <f t="shared" si="8"/>
        <v>46480</v>
      </c>
      <c r="K62" s="14" t="str">
        <f t="shared" ca="1" si="9"/>
        <v>🟢 В порядке</v>
      </c>
      <c r="L62" s="8"/>
    </row>
    <row r="63" spans="1:12" ht="21.95" customHeight="1" x14ac:dyDescent="0.3">
      <c r="A63" s="1">
        <v>59</v>
      </c>
      <c r="B63" s="2" t="s">
        <v>180</v>
      </c>
      <c r="C63" s="2" t="s">
        <v>564</v>
      </c>
      <c r="D63" s="2" t="s">
        <v>565</v>
      </c>
      <c r="E63" s="3" t="s">
        <v>448</v>
      </c>
      <c r="F63" s="36">
        <v>46208</v>
      </c>
      <c r="G63" s="19">
        <f t="shared" si="5"/>
        <v>46147</v>
      </c>
      <c r="H63" s="19">
        <f t="shared" si="6"/>
        <v>46201</v>
      </c>
      <c r="I63" s="19">
        <f t="shared" si="7"/>
        <v>46206</v>
      </c>
      <c r="J63" s="21">
        <f t="shared" si="8"/>
        <v>46206</v>
      </c>
      <c r="K63" s="14" t="str">
        <f t="shared" ca="1" si="9"/>
        <v>🟢 В порядке</v>
      </c>
      <c r="L63" s="1"/>
    </row>
    <row r="64" spans="1:12" ht="21.95" customHeight="1" x14ac:dyDescent="0.3">
      <c r="A64" s="8">
        <v>60</v>
      </c>
      <c r="B64" s="9" t="s">
        <v>187</v>
      </c>
      <c r="C64" s="9" t="s">
        <v>566</v>
      </c>
      <c r="D64" s="9" t="s">
        <v>567</v>
      </c>
      <c r="E64" s="10" t="s">
        <v>448</v>
      </c>
      <c r="F64" s="36">
        <v>46208</v>
      </c>
      <c r="G64" s="20">
        <f t="shared" si="5"/>
        <v>46147</v>
      </c>
      <c r="H64" s="20">
        <f t="shared" si="6"/>
        <v>46201</v>
      </c>
      <c r="I64" s="20">
        <f t="shared" si="7"/>
        <v>46206</v>
      </c>
      <c r="J64" s="21">
        <f t="shared" si="8"/>
        <v>46206</v>
      </c>
      <c r="K64" s="14" t="str">
        <f t="shared" ca="1" si="9"/>
        <v>🟢 В порядке</v>
      </c>
      <c r="L64" s="8"/>
    </row>
    <row r="65" spans="1:12" ht="21.95" customHeight="1" x14ac:dyDescent="0.3">
      <c r="A65" s="1">
        <v>61</v>
      </c>
      <c r="B65" s="2" t="s">
        <v>187</v>
      </c>
      <c r="C65" s="2" t="s">
        <v>568</v>
      </c>
      <c r="D65" s="2" t="s">
        <v>569</v>
      </c>
      <c r="E65" s="3" t="s">
        <v>448</v>
      </c>
      <c r="F65" s="36">
        <v>46208</v>
      </c>
      <c r="G65" s="19">
        <f t="shared" si="5"/>
        <v>46147</v>
      </c>
      <c r="H65" s="19">
        <f t="shared" si="6"/>
        <v>46201</v>
      </c>
      <c r="I65" s="19">
        <f t="shared" si="7"/>
        <v>46206</v>
      </c>
      <c r="J65" s="21">
        <f t="shared" si="8"/>
        <v>46206</v>
      </c>
      <c r="K65" s="14" t="str">
        <f t="shared" ca="1" si="9"/>
        <v>🟢 В порядке</v>
      </c>
      <c r="L65" s="1"/>
    </row>
    <row r="66" spans="1:12" ht="21.95" customHeight="1" x14ac:dyDescent="0.3">
      <c r="A66" s="8">
        <v>62</v>
      </c>
      <c r="B66" s="9" t="s">
        <v>187</v>
      </c>
      <c r="C66" s="9" t="s">
        <v>570</v>
      </c>
      <c r="D66" s="9" t="s">
        <v>571</v>
      </c>
      <c r="E66" s="10" t="s">
        <v>448</v>
      </c>
      <c r="F66" s="36">
        <v>46208</v>
      </c>
      <c r="G66" s="20">
        <f t="shared" si="5"/>
        <v>46147</v>
      </c>
      <c r="H66" s="20">
        <f t="shared" si="6"/>
        <v>46201</v>
      </c>
      <c r="I66" s="20">
        <f t="shared" si="7"/>
        <v>46206</v>
      </c>
      <c r="J66" s="21">
        <f t="shared" si="8"/>
        <v>46206</v>
      </c>
      <c r="K66" s="14" t="str">
        <f t="shared" ca="1" si="9"/>
        <v>🟢 В порядке</v>
      </c>
      <c r="L66" s="8"/>
    </row>
    <row r="67" spans="1:12" ht="21.95" customHeight="1" x14ac:dyDescent="0.3">
      <c r="A67" s="1">
        <v>63</v>
      </c>
      <c r="B67" s="2" t="s">
        <v>196</v>
      </c>
      <c r="C67" s="2" t="s">
        <v>572</v>
      </c>
      <c r="D67" s="2" t="s">
        <v>573</v>
      </c>
      <c r="E67" s="3" t="s">
        <v>448</v>
      </c>
      <c r="F67" s="36">
        <v>46331</v>
      </c>
      <c r="G67" s="19">
        <f t="shared" si="5"/>
        <v>46270</v>
      </c>
      <c r="H67" s="19">
        <f t="shared" si="6"/>
        <v>46324</v>
      </c>
      <c r="I67" s="19">
        <f t="shared" si="7"/>
        <v>46329</v>
      </c>
      <c r="J67" s="21">
        <f t="shared" si="8"/>
        <v>46329</v>
      </c>
      <c r="K67" s="14" t="str">
        <f t="shared" ca="1" si="9"/>
        <v>🟢 В порядке</v>
      </c>
      <c r="L67" s="1"/>
    </row>
    <row r="68" spans="1:12" ht="21.95" customHeight="1" x14ac:dyDescent="0.3">
      <c r="A68" s="8">
        <v>64</v>
      </c>
      <c r="B68" s="9" t="s">
        <v>196</v>
      </c>
      <c r="C68" s="9" t="s">
        <v>574</v>
      </c>
      <c r="D68" s="9" t="s">
        <v>575</v>
      </c>
      <c r="E68" s="10" t="s">
        <v>448</v>
      </c>
      <c r="F68" s="36">
        <v>46270</v>
      </c>
      <c r="G68" s="20">
        <f t="shared" si="5"/>
        <v>46208</v>
      </c>
      <c r="H68" s="20">
        <f t="shared" si="6"/>
        <v>46263</v>
      </c>
      <c r="I68" s="20">
        <f t="shared" si="7"/>
        <v>46268</v>
      </c>
      <c r="J68" s="21">
        <f t="shared" si="8"/>
        <v>46268</v>
      </c>
      <c r="K68" s="14" t="str">
        <f t="shared" ca="1" si="9"/>
        <v>🟢 В порядке</v>
      </c>
      <c r="L68" s="8"/>
    </row>
    <row r="69" spans="1:12" ht="21.95" customHeight="1" x14ac:dyDescent="0.3">
      <c r="A69" s="1">
        <v>65</v>
      </c>
      <c r="B69" s="2" t="s">
        <v>201</v>
      </c>
      <c r="C69" s="2" t="s">
        <v>576</v>
      </c>
      <c r="D69" s="2" t="s">
        <v>577</v>
      </c>
      <c r="E69" s="3" t="s">
        <v>448</v>
      </c>
      <c r="F69" s="36">
        <v>46300</v>
      </c>
      <c r="G69" s="19">
        <f t="shared" ref="G69:G100" si="10">IF(F69="","",DATE(YEAR(F69),MONTH(F69)-2,DAY(F69)))</f>
        <v>46239</v>
      </c>
      <c r="H69" s="19">
        <f t="shared" ref="H69:H100" si="11">IF(F69="","",F69-7)</f>
        <v>46293</v>
      </c>
      <c r="I69" s="19">
        <f t="shared" ref="I69:I100" si="12">IF(F69="","",F69-2)</f>
        <v>46298</v>
      </c>
      <c r="J69" s="21">
        <f t="shared" ref="J69:J100" si="13">IF(E69="","",F69-2)</f>
        <v>46298</v>
      </c>
      <c r="K69" s="14" t="str">
        <f t="shared" ref="K69:K100" ca="1" si="14">IF(F69="","❓ Не указана",IF(F69&lt;TODAY(),"🔴 Просрочена",IF(J69&lt;=TODAY(),"🔴 Просрочена скоро",IF(I69&lt;=TODAY(),"🟡 Скоро (-7 дн.)",IF(H69&lt;=TODAY(),"🟡 Скоро (-1 мес.)",IF(G69&lt;=TODAY(),"🟡 Скоро (-2 мес.)","🟢 В порядке"))))))</f>
        <v>🟢 В порядке</v>
      </c>
      <c r="L69" s="1"/>
    </row>
    <row r="70" spans="1:12" ht="21.95" customHeight="1" x14ac:dyDescent="0.3">
      <c r="A70" s="8">
        <v>66</v>
      </c>
      <c r="B70" s="9" t="s">
        <v>201</v>
      </c>
      <c r="C70" s="9" t="s">
        <v>578</v>
      </c>
      <c r="D70" s="9" t="s">
        <v>579</v>
      </c>
      <c r="E70" s="10" t="s">
        <v>448</v>
      </c>
      <c r="F70" s="36">
        <v>46208</v>
      </c>
      <c r="G70" s="20">
        <f t="shared" si="10"/>
        <v>46147</v>
      </c>
      <c r="H70" s="20">
        <f t="shared" si="11"/>
        <v>46201</v>
      </c>
      <c r="I70" s="20">
        <f t="shared" si="12"/>
        <v>46206</v>
      </c>
      <c r="J70" s="21">
        <f t="shared" si="13"/>
        <v>46206</v>
      </c>
      <c r="K70" s="14" t="str">
        <f t="shared" ca="1" si="14"/>
        <v>🟢 В порядке</v>
      </c>
      <c r="L70" s="8"/>
    </row>
    <row r="71" spans="1:12" ht="21.95" customHeight="1" x14ac:dyDescent="0.3">
      <c r="A71" s="1">
        <v>67</v>
      </c>
      <c r="B71" s="2" t="s">
        <v>201</v>
      </c>
      <c r="C71" s="2" t="s">
        <v>580</v>
      </c>
      <c r="D71" s="2" t="s">
        <v>581</v>
      </c>
      <c r="E71" s="3" t="s">
        <v>448</v>
      </c>
      <c r="F71" s="36">
        <v>46230</v>
      </c>
      <c r="G71" s="19">
        <f t="shared" si="10"/>
        <v>46169</v>
      </c>
      <c r="H71" s="19">
        <f t="shared" si="11"/>
        <v>46223</v>
      </c>
      <c r="I71" s="19">
        <f t="shared" si="12"/>
        <v>46228</v>
      </c>
      <c r="J71" s="21">
        <f t="shared" si="13"/>
        <v>46228</v>
      </c>
      <c r="K71" s="14" t="str">
        <f t="shared" ca="1" si="14"/>
        <v>🟢 В порядке</v>
      </c>
      <c r="L71" s="1"/>
    </row>
    <row r="72" spans="1:12" ht="21.95" customHeight="1" x14ac:dyDescent="0.3">
      <c r="A72" s="8">
        <v>68</v>
      </c>
      <c r="B72" s="9" t="s">
        <v>201</v>
      </c>
      <c r="C72" s="9" t="s">
        <v>582</v>
      </c>
      <c r="D72" s="9" t="s">
        <v>583</v>
      </c>
      <c r="E72" s="10" t="s">
        <v>448</v>
      </c>
      <c r="F72" s="36">
        <v>46331</v>
      </c>
      <c r="G72" s="20">
        <f t="shared" si="10"/>
        <v>46270</v>
      </c>
      <c r="H72" s="20">
        <f t="shared" si="11"/>
        <v>46324</v>
      </c>
      <c r="I72" s="20">
        <f t="shared" si="12"/>
        <v>46329</v>
      </c>
      <c r="J72" s="21">
        <f t="shared" si="13"/>
        <v>46329</v>
      </c>
      <c r="K72" s="14" t="str">
        <f t="shared" ca="1" si="14"/>
        <v>🟢 В порядке</v>
      </c>
      <c r="L72" s="8"/>
    </row>
    <row r="73" spans="1:12" ht="21.95" customHeight="1" x14ac:dyDescent="0.3">
      <c r="A73" s="1">
        <v>69</v>
      </c>
      <c r="B73" s="2" t="s">
        <v>213</v>
      </c>
      <c r="C73" s="2" t="s">
        <v>584</v>
      </c>
      <c r="D73" s="2" t="s">
        <v>585</v>
      </c>
      <c r="E73" s="3" t="s">
        <v>448</v>
      </c>
      <c r="F73" s="36">
        <v>46239</v>
      </c>
      <c r="G73" s="19">
        <f t="shared" si="10"/>
        <v>46178</v>
      </c>
      <c r="H73" s="19">
        <f t="shared" si="11"/>
        <v>46232</v>
      </c>
      <c r="I73" s="19">
        <f t="shared" si="12"/>
        <v>46237</v>
      </c>
      <c r="J73" s="21">
        <f t="shared" si="13"/>
        <v>46237</v>
      </c>
      <c r="K73" s="14" t="str">
        <f t="shared" ca="1" si="14"/>
        <v>🟢 В порядке</v>
      </c>
      <c r="L73" s="1"/>
    </row>
    <row r="74" spans="1:12" ht="21.95" customHeight="1" x14ac:dyDescent="0.3">
      <c r="A74" s="8">
        <v>70</v>
      </c>
      <c r="B74" s="9" t="s">
        <v>213</v>
      </c>
      <c r="C74" s="9" t="s">
        <v>586</v>
      </c>
      <c r="D74" s="9" t="s">
        <v>587</v>
      </c>
      <c r="E74" s="10" t="s">
        <v>448</v>
      </c>
      <c r="F74" s="36">
        <v>46233</v>
      </c>
      <c r="G74" s="20">
        <f t="shared" si="10"/>
        <v>46172</v>
      </c>
      <c r="H74" s="20">
        <f t="shared" si="11"/>
        <v>46226</v>
      </c>
      <c r="I74" s="20">
        <f t="shared" si="12"/>
        <v>46231</v>
      </c>
      <c r="J74" s="21">
        <f t="shared" si="13"/>
        <v>46231</v>
      </c>
      <c r="K74" s="14" t="str">
        <f t="shared" ca="1" si="14"/>
        <v>🟢 В порядке</v>
      </c>
      <c r="L74" s="8"/>
    </row>
    <row r="75" spans="1:12" ht="21.95" customHeight="1" x14ac:dyDescent="0.3">
      <c r="A75" s="1">
        <v>71</v>
      </c>
      <c r="B75" s="2" t="s">
        <v>218</v>
      </c>
      <c r="C75" s="2" t="s">
        <v>588</v>
      </c>
      <c r="D75" s="2" t="s">
        <v>589</v>
      </c>
      <c r="E75" s="3" t="s">
        <v>448</v>
      </c>
      <c r="F75" s="36">
        <v>46331</v>
      </c>
      <c r="G75" s="19">
        <f t="shared" si="10"/>
        <v>46270</v>
      </c>
      <c r="H75" s="19">
        <f t="shared" si="11"/>
        <v>46324</v>
      </c>
      <c r="I75" s="19">
        <f t="shared" si="12"/>
        <v>46329</v>
      </c>
      <c r="J75" s="21">
        <f t="shared" si="13"/>
        <v>46329</v>
      </c>
      <c r="K75" s="14" t="str">
        <f t="shared" ca="1" si="14"/>
        <v>🟢 В порядке</v>
      </c>
      <c r="L75" s="1"/>
    </row>
    <row r="76" spans="1:12" ht="21.95" customHeight="1" x14ac:dyDescent="0.3">
      <c r="A76" s="8">
        <v>72</v>
      </c>
      <c r="B76" s="9" t="s">
        <v>218</v>
      </c>
      <c r="C76" s="9" t="s">
        <v>590</v>
      </c>
      <c r="D76" s="9" t="s">
        <v>591</v>
      </c>
      <c r="E76" s="10" t="s">
        <v>448</v>
      </c>
      <c r="F76" s="36">
        <v>46239</v>
      </c>
      <c r="G76" s="20">
        <f t="shared" si="10"/>
        <v>46178</v>
      </c>
      <c r="H76" s="20">
        <f t="shared" si="11"/>
        <v>46232</v>
      </c>
      <c r="I76" s="20">
        <f t="shared" si="12"/>
        <v>46237</v>
      </c>
      <c r="J76" s="21">
        <f t="shared" si="13"/>
        <v>46237</v>
      </c>
      <c r="K76" s="14" t="str">
        <f t="shared" ca="1" si="14"/>
        <v>🟢 В порядке</v>
      </c>
      <c r="L76" s="8"/>
    </row>
    <row r="77" spans="1:12" ht="21.95" customHeight="1" x14ac:dyDescent="0.3">
      <c r="A77" s="1">
        <v>73</v>
      </c>
      <c r="B77" s="2" t="s">
        <v>225</v>
      </c>
      <c r="C77" s="2" t="s">
        <v>592</v>
      </c>
      <c r="D77" s="2" t="s">
        <v>593</v>
      </c>
      <c r="E77" s="3" t="s">
        <v>448</v>
      </c>
      <c r="F77" s="36">
        <v>46482</v>
      </c>
      <c r="G77" s="19">
        <f t="shared" si="10"/>
        <v>46423</v>
      </c>
      <c r="H77" s="19">
        <f t="shared" si="11"/>
        <v>46475</v>
      </c>
      <c r="I77" s="19">
        <f t="shared" si="12"/>
        <v>46480</v>
      </c>
      <c r="J77" s="21">
        <f t="shared" si="13"/>
        <v>46480</v>
      </c>
      <c r="K77" s="14" t="str">
        <f t="shared" ca="1" si="14"/>
        <v>🟢 В порядке</v>
      </c>
      <c r="L77" s="1"/>
    </row>
    <row r="78" spans="1:12" ht="21.95" customHeight="1" x14ac:dyDescent="0.3">
      <c r="A78" s="8">
        <v>74</v>
      </c>
      <c r="B78" s="9" t="s">
        <v>225</v>
      </c>
      <c r="C78" s="9" t="s">
        <v>594</v>
      </c>
      <c r="D78" s="9" t="s">
        <v>595</v>
      </c>
      <c r="E78" s="10" t="s">
        <v>448</v>
      </c>
      <c r="F78" s="36">
        <v>46451</v>
      </c>
      <c r="G78" s="20">
        <f t="shared" si="10"/>
        <v>46392</v>
      </c>
      <c r="H78" s="20">
        <f t="shared" si="11"/>
        <v>46444</v>
      </c>
      <c r="I78" s="20">
        <f t="shared" si="12"/>
        <v>46449</v>
      </c>
      <c r="J78" s="21">
        <f t="shared" si="13"/>
        <v>46449</v>
      </c>
      <c r="K78" s="14" t="str">
        <f t="shared" ca="1" si="14"/>
        <v>🟢 В порядке</v>
      </c>
      <c r="L78" s="8"/>
    </row>
    <row r="79" spans="1:12" ht="21.95" customHeight="1" x14ac:dyDescent="0.3">
      <c r="A79" s="1">
        <v>75</v>
      </c>
      <c r="B79" s="2" t="s">
        <v>230</v>
      </c>
      <c r="C79" s="2" t="s">
        <v>596</v>
      </c>
      <c r="D79" s="2" t="s">
        <v>597</v>
      </c>
      <c r="E79" s="3" t="s">
        <v>448</v>
      </c>
      <c r="F79" s="36">
        <v>46482</v>
      </c>
      <c r="G79" s="19">
        <f t="shared" si="10"/>
        <v>46423</v>
      </c>
      <c r="H79" s="19">
        <f t="shared" si="11"/>
        <v>46475</v>
      </c>
      <c r="I79" s="19">
        <f t="shared" si="12"/>
        <v>46480</v>
      </c>
      <c r="J79" s="21">
        <f t="shared" si="13"/>
        <v>46480</v>
      </c>
      <c r="K79" s="14" t="str">
        <f t="shared" ca="1" si="14"/>
        <v>🟢 В порядке</v>
      </c>
      <c r="L79" s="1"/>
    </row>
    <row r="80" spans="1:12" ht="21.95" customHeight="1" x14ac:dyDescent="0.3">
      <c r="A80" s="8">
        <v>76</v>
      </c>
      <c r="B80" s="9" t="s">
        <v>230</v>
      </c>
      <c r="C80" s="9" t="s">
        <v>598</v>
      </c>
      <c r="D80" s="9" t="s">
        <v>599</v>
      </c>
      <c r="E80" s="10" t="s">
        <v>448</v>
      </c>
      <c r="F80" s="36">
        <v>46451</v>
      </c>
      <c r="G80" s="20">
        <f t="shared" si="10"/>
        <v>46392</v>
      </c>
      <c r="H80" s="20">
        <f t="shared" si="11"/>
        <v>46444</v>
      </c>
      <c r="I80" s="20">
        <f t="shared" si="12"/>
        <v>46449</v>
      </c>
      <c r="J80" s="21">
        <f t="shared" si="13"/>
        <v>46449</v>
      </c>
      <c r="K80" s="14" t="str">
        <f t="shared" ca="1" si="14"/>
        <v>🟢 В порядке</v>
      </c>
      <c r="L80" s="8"/>
    </row>
    <row r="81" spans="1:12" ht="21.95" customHeight="1" x14ac:dyDescent="0.3">
      <c r="A81" s="1">
        <v>77</v>
      </c>
      <c r="B81" s="2" t="s">
        <v>235</v>
      </c>
      <c r="C81" s="2" t="s">
        <v>600</v>
      </c>
      <c r="D81" s="2" t="s">
        <v>601</v>
      </c>
      <c r="E81" s="3" t="s">
        <v>448</v>
      </c>
      <c r="F81" s="36">
        <v>46331</v>
      </c>
      <c r="G81" s="19">
        <f t="shared" si="10"/>
        <v>46270</v>
      </c>
      <c r="H81" s="19">
        <f t="shared" si="11"/>
        <v>46324</v>
      </c>
      <c r="I81" s="19">
        <f t="shared" si="12"/>
        <v>46329</v>
      </c>
      <c r="J81" s="21">
        <f t="shared" si="13"/>
        <v>46329</v>
      </c>
      <c r="K81" s="14" t="str">
        <f t="shared" ca="1" si="14"/>
        <v>🟢 В порядке</v>
      </c>
      <c r="L81" s="1"/>
    </row>
    <row r="82" spans="1:12" ht="21.95" customHeight="1" x14ac:dyDescent="0.3">
      <c r="A82" s="8">
        <v>78</v>
      </c>
      <c r="B82" s="9" t="s">
        <v>235</v>
      </c>
      <c r="C82" s="9" t="s">
        <v>602</v>
      </c>
      <c r="D82" s="9" t="s">
        <v>603</v>
      </c>
      <c r="E82" s="10" t="s">
        <v>448</v>
      </c>
      <c r="F82" s="36">
        <v>46239</v>
      </c>
      <c r="G82" s="20">
        <f t="shared" si="10"/>
        <v>46178</v>
      </c>
      <c r="H82" s="20">
        <f t="shared" si="11"/>
        <v>46232</v>
      </c>
      <c r="I82" s="20">
        <f t="shared" si="12"/>
        <v>46237</v>
      </c>
      <c r="J82" s="21">
        <f t="shared" si="13"/>
        <v>46237</v>
      </c>
      <c r="K82" s="14" t="str">
        <f t="shared" ca="1" si="14"/>
        <v>🟢 В порядке</v>
      </c>
      <c r="L82" s="8"/>
    </row>
    <row r="83" spans="1:12" ht="21.95" customHeight="1" x14ac:dyDescent="0.3">
      <c r="A83" s="1">
        <v>79</v>
      </c>
      <c r="B83" s="2" t="s">
        <v>235</v>
      </c>
      <c r="C83" s="2" t="s">
        <v>604</v>
      </c>
      <c r="D83" s="2" t="s">
        <v>605</v>
      </c>
      <c r="E83" s="3" t="s">
        <v>448</v>
      </c>
      <c r="F83" s="36">
        <v>46482</v>
      </c>
      <c r="G83" s="19">
        <f t="shared" si="10"/>
        <v>46423</v>
      </c>
      <c r="H83" s="19">
        <f t="shared" si="11"/>
        <v>46475</v>
      </c>
      <c r="I83" s="19">
        <f t="shared" si="12"/>
        <v>46480</v>
      </c>
      <c r="J83" s="21">
        <f t="shared" si="13"/>
        <v>46480</v>
      </c>
      <c r="K83" s="14" t="str">
        <f t="shared" ca="1" si="14"/>
        <v>🟢 В порядке</v>
      </c>
      <c r="L83" s="1"/>
    </row>
    <row r="84" spans="1:12" ht="21.95" customHeight="1" x14ac:dyDescent="0.3">
      <c r="A84" s="8">
        <v>80</v>
      </c>
      <c r="B84" s="9" t="s">
        <v>240</v>
      </c>
      <c r="C84" s="9" t="s">
        <v>606</v>
      </c>
      <c r="D84" s="9" t="s">
        <v>607</v>
      </c>
      <c r="E84" s="10" t="s">
        <v>448</v>
      </c>
      <c r="F84" s="36">
        <v>46239</v>
      </c>
      <c r="G84" s="20">
        <f t="shared" si="10"/>
        <v>46178</v>
      </c>
      <c r="H84" s="20">
        <f t="shared" si="11"/>
        <v>46232</v>
      </c>
      <c r="I84" s="20">
        <f t="shared" si="12"/>
        <v>46237</v>
      </c>
      <c r="J84" s="21">
        <f t="shared" si="13"/>
        <v>46237</v>
      </c>
      <c r="K84" s="14" t="str">
        <f t="shared" ca="1" si="14"/>
        <v>🟢 В порядке</v>
      </c>
      <c r="L84" s="8"/>
    </row>
    <row r="85" spans="1:12" ht="21.95" customHeight="1" x14ac:dyDescent="0.3">
      <c r="A85" s="1">
        <v>81</v>
      </c>
      <c r="B85" s="2" t="s">
        <v>240</v>
      </c>
      <c r="C85" s="2" t="s">
        <v>608</v>
      </c>
      <c r="D85" s="2" t="s">
        <v>609</v>
      </c>
      <c r="E85" s="3" t="s">
        <v>448</v>
      </c>
      <c r="F85" s="36">
        <v>46239</v>
      </c>
      <c r="G85" s="19">
        <f t="shared" si="10"/>
        <v>46178</v>
      </c>
      <c r="H85" s="19">
        <f t="shared" si="11"/>
        <v>46232</v>
      </c>
      <c r="I85" s="19">
        <f t="shared" si="12"/>
        <v>46237</v>
      </c>
      <c r="J85" s="21">
        <f t="shared" si="13"/>
        <v>46237</v>
      </c>
      <c r="K85" s="14" t="str">
        <f t="shared" ca="1" si="14"/>
        <v>🟢 В порядке</v>
      </c>
      <c r="L85" s="1"/>
    </row>
    <row r="86" spans="1:12" ht="21.95" customHeight="1" x14ac:dyDescent="0.3">
      <c r="A86" s="8">
        <v>82</v>
      </c>
      <c r="B86" s="9" t="s">
        <v>245</v>
      </c>
      <c r="C86" s="9" t="s">
        <v>610</v>
      </c>
      <c r="D86" s="9" t="s">
        <v>611</v>
      </c>
      <c r="E86" s="10" t="s">
        <v>448</v>
      </c>
      <c r="F86" s="36">
        <v>46245</v>
      </c>
      <c r="G86" s="20">
        <f t="shared" si="10"/>
        <v>46184</v>
      </c>
      <c r="H86" s="20">
        <f t="shared" si="11"/>
        <v>46238</v>
      </c>
      <c r="I86" s="20">
        <f t="shared" si="12"/>
        <v>46243</v>
      </c>
      <c r="J86" s="21">
        <f t="shared" si="13"/>
        <v>46243</v>
      </c>
      <c r="K86" s="14" t="str">
        <f t="shared" ca="1" si="14"/>
        <v>🟢 В порядке</v>
      </c>
      <c r="L86" s="8"/>
    </row>
    <row r="87" spans="1:12" ht="21.95" customHeight="1" x14ac:dyDescent="0.3">
      <c r="A87" s="1">
        <v>83</v>
      </c>
      <c r="B87" s="2" t="s">
        <v>245</v>
      </c>
      <c r="C87" s="2" t="s">
        <v>612</v>
      </c>
      <c r="D87" s="2" t="s">
        <v>613</v>
      </c>
      <c r="E87" s="3" t="s">
        <v>448</v>
      </c>
      <c r="F87" s="36">
        <v>46246</v>
      </c>
      <c r="G87" s="19">
        <f t="shared" si="10"/>
        <v>46185</v>
      </c>
      <c r="H87" s="19">
        <f t="shared" si="11"/>
        <v>46239</v>
      </c>
      <c r="I87" s="19">
        <f t="shared" si="12"/>
        <v>46244</v>
      </c>
      <c r="J87" s="21">
        <f t="shared" si="13"/>
        <v>46244</v>
      </c>
      <c r="K87" s="14" t="str">
        <f t="shared" ca="1" si="14"/>
        <v>🟢 В порядке</v>
      </c>
      <c r="L87" s="1"/>
    </row>
    <row r="88" spans="1:12" ht="21.95" customHeight="1" x14ac:dyDescent="0.3">
      <c r="A88" s="8">
        <v>84</v>
      </c>
      <c r="B88" s="9" t="s">
        <v>245</v>
      </c>
      <c r="C88" s="9" t="s">
        <v>614</v>
      </c>
      <c r="D88" s="9" t="s">
        <v>615</v>
      </c>
      <c r="E88" s="10" t="s">
        <v>448</v>
      </c>
      <c r="F88" s="36">
        <v>46247</v>
      </c>
      <c r="G88" s="20">
        <f t="shared" si="10"/>
        <v>46186</v>
      </c>
      <c r="H88" s="20">
        <f t="shared" si="11"/>
        <v>46240</v>
      </c>
      <c r="I88" s="20">
        <f t="shared" si="12"/>
        <v>46245</v>
      </c>
      <c r="J88" s="21">
        <f t="shared" si="13"/>
        <v>46245</v>
      </c>
      <c r="K88" s="14" t="str">
        <f t="shared" ca="1" si="14"/>
        <v>🟢 В порядке</v>
      </c>
      <c r="L88" s="8"/>
    </row>
    <row r="89" spans="1:12" ht="21.95" customHeight="1" x14ac:dyDescent="0.3">
      <c r="A89" s="1">
        <v>85</v>
      </c>
      <c r="B89" s="2" t="s">
        <v>254</v>
      </c>
      <c r="C89" s="2" t="s">
        <v>616</v>
      </c>
      <c r="D89" s="2" t="s">
        <v>617</v>
      </c>
      <c r="E89" s="3" t="s">
        <v>448</v>
      </c>
      <c r="F89" s="36">
        <v>46361</v>
      </c>
      <c r="G89" s="19">
        <f t="shared" si="10"/>
        <v>46300</v>
      </c>
      <c r="H89" s="19">
        <f t="shared" si="11"/>
        <v>46354</v>
      </c>
      <c r="I89" s="19">
        <f t="shared" si="12"/>
        <v>46359</v>
      </c>
      <c r="J89" s="21">
        <f t="shared" si="13"/>
        <v>46359</v>
      </c>
      <c r="K89" s="14" t="str">
        <f t="shared" ca="1" si="14"/>
        <v>🟢 В порядке</v>
      </c>
      <c r="L89" s="1"/>
    </row>
    <row r="90" spans="1:12" ht="21.95" customHeight="1" x14ac:dyDescent="0.3">
      <c r="A90" s="8">
        <v>86</v>
      </c>
      <c r="B90" s="9" t="s">
        <v>254</v>
      </c>
      <c r="C90" s="9" t="s">
        <v>618</v>
      </c>
      <c r="D90" s="9" t="s">
        <v>619</v>
      </c>
      <c r="E90" s="10" t="s">
        <v>448</v>
      </c>
      <c r="F90" s="36">
        <v>46239</v>
      </c>
      <c r="G90" s="20">
        <f t="shared" si="10"/>
        <v>46178</v>
      </c>
      <c r="H90" s="20">
        <f t="shared" si="11"/>
        <v>46232</v>
      </c>
      <c r="I90" s="20">
        <f t="shared" si="12"/>
        <v>46237</v>
      </c>
      <c r="J90" s="21">
        <f t="shared" si="13"/>
        <v>46237</v>
      </c>
      <c r="K90" s="14" t="str">
        <f t="shared" ca="1" si="14"/>
        <v>🟢 В порядке</v>
      </c>
      <c r="L90" s="8"/>
    </row>
    <row r="91" spans="1:12" ht="21.95" customHeight="1" x14ac:dyDescent="0.3">
      <c r="A91" s="1">
        <v>87</v>
      </c>
      <c r="B91" s="2" t="s">
        <v>259</v>
      </c>
      <c r="C91" s="2" t="s">
        <v>620</v>
      </c>
      <c r="D91" s="2" t="s">
        <v>621</v>
      </c>
      <c r="E91" s="3" t="s">
        <v>448</v>
      </c>
      <c r="F91" s="36">
        <v>46250</v>
      </c>
      <c r="G91" s="19">
        <f t="shared" si="10"/>
        <v>46189</v>
      </c>
      <c r="H91" s="19">
        <f t="shared" si="11"/>
        <v>46243</v>
      </c>
      <c r="I91" s="19">
        <f t="shared" si="12"/>
        <v>46248</v>
      </c>
      <c r="J91" s="21">
        <f t="shared" si="13"/>
        <v>46248</v>
      </c>
      <c r="K91" s="14" t="str">
        <f t="shared" ca="1" si="14"/>
        <v>🟢 В порядке</v>
      </c>
      <c r="L91" s="1"/>
    </row>
    <row r="92" spans="1:12" ht="21.95" customHeight="1" x14ac:dyDescent="0.3">
      <c r="A92" s="8">
        <v>88</v>
      </c>
      <c r="B92" s="9" t="s">
        <v>259</v>
      </c>
      <c r="C92" s="9" t="s">
        <v>622</v>
      </c>
      <c r="D92" s="9" t="s">
        <v>623</v>
      </c>
      <c r="E92" s="10" t="s">
        <v>448</v>
      </c>
      <c r="F92" s="36">
        <v>46331</v>
      </c>
      <c r="G92" s="20">
        <f t="shared" si="10"/>
        <v>46270</v>
      </c>
      <c r="H92" s="20">
        <f t="shared" si="11"/>
        <v>46324</v>
      </c>
      <c r="I92" s="20">
        <f t="shared" si="12"/>
        <v>46329</v>
      </c>
      <c r="J92" s="21">
        <f t="shared" si="13"/>
        <v>46329</v>
      </c>
      <c r="K92" s="14" t="str">
        <f t="shared" ca="1" si="14"/>
        <v>🟢 В порядке</v>
      </c>
      <c r="L92" s="8"/>
    </row>
    <row r="93" spans="1:12" ht="21.95" customHeight="1" x14ac:dyDescent="0.3">
      <c r="A93" s="1">
        <v>89</v>
      </c>
      <c r="B93" s="2" t="s">
        <v>264</v>
      </c>
      <c r="C93" s="2" t="s">
        <v>624</v>
      </c>
      <c r="D93" s="2" t="s">
        <v>625</v>
      </c>
      <c r="E93" s="3" t="s">
        <v>448</v>
      </c>
      <c r="F93" s="36">
        <v>46178</v>
      </c>
      <c r="G93" s="19">
        <f t="shared" si="10"/>
        <v>46117</v>
      </c>
      <c r="H93" s="19">
        <f t="shared" si="11"/>
        <v>46171</v>
      </c>
      <c r="I93" s="19">
        <f t="shared" si="12"/>
        <v>46176</v>
      </c>
      <c r="J93" s="21">
        <f t="shared" si="13"/>
        <v>46176</v>
      </c>
      <c r="K93" s="14" t="str">
        <f t="shared" ca="1" si="14"/>
        <v>🟢 В порядке</v>
      </c>
      <c r="L93" s="1"/>
    </row>
    <row r="94" spans="1:12" ht="21.95" customHeight="1" x14ac:dyDescent="0.3">
      <c r="A94" s="8">
        <v>90</v>
      </c>
      <c r="B94" s="9" t="s">
        <v>264</v>
      </c>
      <c r="C94" s="9" t="s">
        <v>626</v>
      </c>
      <c r="D94" s="9" t="s">
        <v>627</v>
      </c>
      <c r="E94" s="10" t="s">
        <v>448</v>
      </c>
      <c r="F94" s="36">
        <v>46178</v>
      </c>
      <c r="G94" s="20">
        <f t="shared" si="10"/>
        <v>46117</v>
      </c>
      <c r="H94" s="20">
        <f t="shared" si="11"/>
        <v>46171</v>
      </c>
      <c r="I94" s="20">
        <f t="shared" si="12"/>
        <v>46176</v>
      </c>
      <c r="J94" s="21">
        <f t="shared" si="13"/>
        <v>46176</v>
      </c>
      <c r="K94" s="14" t="str">
        <f t="shared" ca="1" si="14"/>
        <v>🟢 В порядке</v>
      </c>
      <c r="L94" s="8"/>
    </row>
    <row r="95" spans="1:12" ht="21.95" customHeight="1" x14ac:dyDescent="0.3">
      <c r="A95" s="1">
        <v>91</v>
      </c>
      <c r="B95" s="2" t="s">
        <v>264</v>
      </c>
      <c r="C95" s="2" t="s">
        <v>628</v>
      </c>
      <c r="D95" s="2" t="s">
        <v>629</v>
      </c>
      <c r="E95" s="3" t="s">
        <v>448</v>
      </c>
      <c r="F95" s="36">
        <v>46254</v>
      </c>
      <c r="G95" s="19">
        <f t="shared" si="10"/>
        <v>46193</v>
      </c>
      <c r="H95" s="19">
        <f t="shared" si="11"/>
        <v>46247</v>
      </c>
      <c r="I95" s="19">
        <f t="shared" si="12"/>
        <v>46252</v>
      </c>
      <c r="J95" s="21">
        <f t="shared" si="13"/>
        <v>46252</v>
      </c>
      <c r="K95" s="14" t="str">
        <f t="shared" ca="1" si="14"/>
        <v>🟢 В порядке</v>
      </c>
      <c r="L95" s="1"/>
    </row>
    <row r="96" spans="1:12" ht="21.95" customHeight="1" x14ac:dyDescent="0.3">
      <c r="A96" s="8">
        <v>92</v>
      </c>
      <c r="B96" s="9" t="s">
        <v>273</v>
      </c>
      <c r="C96" s="9" t="s">
        <v>630</v>
      </c>
      <c r="D96" s="9" t="s">
        <v>631</v>
      </c>
      <c r="E96" s="10" t="s">
        <v>448</v>
      </c>
      <c r="F96" s="36">
        <v>46451</v>
      </c>
      <c r="G96" s="20">
        <f t="shared" si="10"/>
        <v>46392</v>
      </c>
      <c r="H96" s="20">
        <f t="shared" si="11"/>
        <v>46444</v>
      </c>
      <c r="I96" s="20">
        <f t="shared" si="12"/>
        <v>46449</v>
      </c>
      <c r="J96" s="21">
        <f t="shared" si="13"/>
        <v>46449</v>
      </c>
      <c r="K96" s="14" t="str">
        <f t="shared" ca="1" si="14"/>
        <v>🟢 В порядке</v>
      </c>
      <c r="L96" s="8"/>
    </row>
    <row r="97" spans="1:12" ht="21.95" customHeight="1" x14ac:dyDescent="0.3">
      <c r="A97" s="1">
        <v>93</v>
      </c>
      <c r="B97" s="2" t="s">
        <v>273</v>
      </c>
      <c r="C97" s="2" t="s">
        <v>632</v>
      </c>
      <c r="D97" s="2" t="s">
        <v>633</v>
      </c>
      <c r="E97" s="3" t="s">
        <v>448</v>
      </c>
      <c r="F97" s="36">
        <v>46208</v>
      </c>
      <c r="G97" s="19">
        <f t="shared" si="10"/>
        <v>46147</v>
      </c>
      <c r="H97" s="19">
        <f t="shared" si="11"/>
        <v>46201</v>
      </c>
      <c r="I97" s="19">
        <f t="shared" si="12"/>
        <v>46206</v>
      </c>
      <c r="J97" s="21">
        <f t="shared" si="13"/>
        <v>46206</v>
      </c>
      <c r="K97" s="14" t="str">
        <f t="shared" ca="1" si="14"/>
        <v>🟢 В порядке</v>
      </c>
      <c r="L97" s="1"/>
    </row>
    <row r="98" spans="1:12" ht="21.95" customHeight="1" x14ac:dyDescent="0.3">
      <c r="A98" s="8">
        <v>94</v>
      </c>
      <c r="B98" s="9" t="s">
        <v>278</v>
      </c>
      <c r="C98" s="9" t="s">
        <v>634</v>
      </c>
      <c r="D98" s="9" t="s">
        <v>635</v>
      </c>
      <c r="E98" s="10" t="s">
        <v>448</v>
      </c>
      <c r="F98" s="36">
        <v>46451</v>
      </c>
      <c r="G98" s="20">
        <f t="shared" si="10"/>
        <v>46392</v>
      </c>
      <c r="H98" s="20">
        <f t="shared" si="11"/>
        <v>46444</v>
      </c>
      <c r="I98" s="20">
        <f t="shared" si="12"/>
        <v>46449</v>
      </c>
      <c r="J98" s="21">
        <f t="shared" si="13"/>
        <v>46449</v>
      </c>
      <c r="K98" s="14" t="str">
        <f t="shared" ca="1" si="14"/>
        <v>🟢 В порядке</v>
      </c>
      <c r="L98" s="8"/>
    </row>
    <row r="99" spans="1:12" ht="21.95" customHeight="1" x14ac:dyDescent="0.3">
      <c r="A99" s="1">
        <v>95</v>
      </c>
      <c r="B99" s="2" t="s">
        <v>278</v>
      </c>
      <c r="C99" s="2" t="s">
        <v>636</v>
      </c>
      <c r="D99" s="2" t="s">
        <v>637</v>
      </c>
      <c r="E99" s="3" t="s">
        <v>448</v>
      </c>
      <c r="F99" s="36">
        <v>46451</v>
      </c>
      <c r="G99" s="19">
        <f t="shared" si="10"/>
        <v>46392</v>
      </c>
      <c r="H99" s="19">
        <f t="shared" si="11"/>
        <v>46444</v>
      </c>
      <c r="I99" s="19">
        <f t="shared" si="12"/>
        <v>46449</v>
      </c>
      <c r="J99" s="21">
        <f t="shared" si="13"/>
        <v>46449</v>
      </c>
      <c r="K99" s="14" t="str">
        <f t="shared" ca="1" si="14"/>
        <v>🟢 В порядке</v>
      </c>
      <c r="L99" s="1"/>
    </row>
    <row r="100" spans="1:12" ht="21.95" customHeight="1" x14ac:dyDescent="0.3">
      <c r="A100" s="8">
        <v>96</v>
      </c>
      <c r="B100" s="9" t="s">
        <v>283</v>
      </c>
      <c r="C100" s="9" t="s">
        <v>638</v>
      </c>
      <c r="D100" s="9" t="s">
        <v>639</v>
      </c>
      <c r="E100" s="10" t="s">
        <v>448</v>
      </c>
      <c r="F100" s="36">
        <v>46178</v>
      </c>
      <c r="G100" s="20">
        <f t="shared" si="10"/>
        <v>46117</v>
      </c>
      <c r="H100" s="20">
        <f t="shared" si="11"/>
        <v>46171</v>
      </c>
      <c r="I100" s="20">
        <f t="shared" si="12"/>
        <v>46176</v>
      </c>
      <c r="J100" s="21">
        <f t="shared" si="13"/>
        <v>46176</v>
      </c>
      <c r="K100" s="14" t="str">
        <f t="shared" ca="1" si="14"/>
        <v>🟢 В порядке</v>
      </c>
      <c r="L100" s="8"/>
    </row>
    <row r="101" spans="1:12" ht="21.95" customHeight="1" x14ac:dyDescent="0.3">
      <c r="A101" s="1">
        <v>97</v>
      </c>
      <c r="B101" s="2" t="s">
        <v>283</v>
      </c>
      <c r="C101" s="2" t="s">
        <v>640</v>
      </c>
      <c r="D101" s="2" t="s">
        <v>641</v>
      </c>
      <c r="E101" s="3" t="s">
        <v>448</v>
      </c>
      <c r="F101" s="36">
        <v>46331</v>
      </c>
      <c r="G101" s="19">
        <f t="shared" ref="G101:G132" si="15">IF(F101="","",DATE(YEAR(F101),MONTH(F101)-2,DAY(F101)))</f>
        <v>46270</v>
      </c>
      <c r="H101" s="19">
        <f t="shared" ref="H101:H132" si="16">IF(F101="","",F101-7)</f>
        <v>46324</v>
      </c>
      <c r="I101" s="19">
        <f t="shared" ref="I101:I132" si="17">IF(F101="","",F101-2)</f>
        <v>46329</v>
      </c>
      <c r="J101" s="21">
        <f t="shared" ref="J101:J132" si="18">IF(E101="","",F101-2)</f>
        <v>46329</v>
      </c>
      <c r="K101" s="14" t="str">
        <f t="shared" ref="K101:K132" ca="1" si="19">IF(F101="","❓ Не указана",IF(F101&lt;TODAY(),"🔴 Просрочена",IF(J101&lt;=TODAY(),"🔴 Просрочена скоро",IF(I101&lt;=TODAY(),"🟡 Скоро (-7 дн.)",IF(H101&lt;=TODAY(),"🟡 Скоро (-1 мес.)",IF(G101&lt;=TODAY(),"🟡 Скоро (-2 мес.)","🟢 В порядке"))))))</f>
        <v>🟢 В порядке</v>
      </c>
      <c r="L101" s="1"/>
    </row>
    <row r="102" spans="1:12" ht="21.95" customHeight="1" x14ac:dyDescent="0.3">
      <c r="A102" s="8">
        <v>98</v>
      </c>
      <c r="B102" s="9" t="s">
        <v>288</v>
      </c>
      <c r="C102" s="9" t="s">
        <v>642</v>
      </c>
      <c r="D102" s="9" t="s">
        <v>643</v>
      </c>
      <c r="E102" s="10" t="s">
        <v>448</v>
      </c>
      <c r="F102" s="36">
        <v>46208</v>
      </c>
      <c r="G102" s="20">
        <f t="shared" si="15"/>
        <v>46147</v>
      </c>
      <c r="H102" s="20">
        <f t="shared" si="16"/>
        <v>46201</v>
      </c>
      <c r="I102" s="20">
        <f t="shared" si="17"/>
        <v>46206</v>
      </c>
      <c r="J102" s="21">
        <f t="shared" si="18"/>
        <v>46206</v>
      </c>
      <c r="K102" s="14" t="str">
        <f t="shared" ca="1" si="19"/>
        <v>🟢 В порядке</v>
      </c>
      <c r="L102" s="8"/>
    </row>
    <row r="103" spans="1:12" ht="21.95" customHeight="1" x14ac:dyDescent="0.3">
      <c r="A103" s="1">
        <v>99</v>
      </c>
      <c r="B103" s="2" t="s">
        <v>288</v>
      </c>
      <c r="C103" s="2" t="s">
        <v>644</v>
      </c>
      <c r="D103" s="2" t="s">
        <v>645</v>
      </c>
      <c r="E103" s="3" t="s">
        <v>448</v>
      </c>
      <c r="F103" s="36">
        <v>46239</v>
      </c>
      <c r="G103" s="19">
        <f t="shared" si="15"/>
        <v>46178</v>
      </c>
      <c r="H103" s="19">
        <f t="shared" si="16"/>
        <v>46232</v>
      </c>
      <c r="I103" s="19">
        <f t="shared" si="17"/>
        <v>46237</v>
      </c>
      <c r="J103" s="21">
        <f t="shared" si="18"/>
        <v>46237</v>
      </c>
      <c r="K103" s="14" t="str">
        <f t="shared" ca="1" si="19"/>
        <v>🟢 В порядке</v>
      </c>
      <c r="L103" s="1"/>
    </row>
    <row r="104" spans="1:12" ht="21.95" customHeight="1" x14ac:dyDescent="0.3">
      <c r="A104" s="8">
        <v>100</v>
      </c>
      <c r="B104" s="9" t="s">
        <v>293</v>
      </c>
      <c r="C104" s="9" t="s">
        <v>646</v>
      </c>
      <c r="D104" s="9" t="s">
        <v>647</v>
      </c>
      <c r="E104" s="10" t="s">
        <v>448</v>
      </c>
      <c r="F104" s="36">
        <v>46451</v>
      </c>
      <c r="G104" s="20">
        <f t="shared" si="15"/>
        <v>46392</v>
      </c>
      <c r="H104" s="20">
        <f t="shared" si="16"/>
        <v>46444</v>
      </c>
      <c r="I104" s="20">
        <f t="shared" si="17"/>
        <v>46449</v>
      </c>
      <c r="J104" s="21">
        <f t="shared" si="18"/>
        <v>46449</v>
      </c>
      <c r="K104" s="14" t="str">
        <f t="shared" ca="1" si="19"/>
        <v>🟢 В порядке</v>
      </c>
      <c r="L104" s="8"/>
    </row>
    <row r="105" spans="1:12" ht="21.95" customHeight="1" x14ac:dyDescent="0.3">
      <c r="A105" s="1">
        <v>101</v>
      </c>
      <c r="B105" s="2" t="s">
        <v>293</v>
      </c>
      <c r="C105" s="2" t="s">
        <v>648</v>
      </c>
      <c r="D105" s="2" t="s">
        <v>649</v>
      </c>
      <c r="E105" s="3" t="s">
        <v>448</v>
      </c>
      <c r="F105" s="36">
        <v>46451</v>
      </c>
      <c r="G105" s="19">
        <f t="shared" si="15"/>
        <v>46392</v>
      </c>
      <c r="H105" s="19">
        <f t="shared" si="16"/>
        <v>46444</v>
      </c>
      <c r="I105" s="19">
        <f t="shared" si="17"/>
        <v>46449</v>
      </c>
      <c r="J105" s="21">
        <f t="shared" si="18"/>
        <v>46449</v>
      </c>
      <c r="K105" s="14" t="str">
        <f t="shared" ca="1" si="19"/>
        <v>🟢 В порядке</v>
      </c>
      <c r="L105" s="1"/>
    </row>
    <row r="106" spans="1:12" ht="21.95" customHeight="1" x14ac:dyDescent="0.3">
      <c r="A106" s="8">
        <v>102</v>
      </c>
      <c r="B106" s="9" t="s">
        <v>293</v>
      </c>
      <c r="C106" s="9" t="s">
        <v>650</v>
      </c>
      <c r="D106" s="9" t="s">
        <v>651</v>
      </c>
      <c r="E106" s="10" t="s">
        <v>448</v>
      </c>
      <c r="F106" s="36">
        <v>46178</v>
      </c>
      <c r="G106" s="20">
        <f t="shared" si="15"/>
        <v>46117</v>
      </c>
      <c r="H106" s="20">
        <f t="shared" si="16"/>
        <v>46171</v>
      </c>
      <c r="I106" s="20">
        <f t="shared" si="17"/>
        <v>46176</v>
      </c>
      <c r="J106" s="21">
        <f t="shared" si="18"/>
        <v>46176</v>
      </c>
      <c r="K106" s="14" t="str">
        <f t="shared" ca="1" si="19"/>
        <v>🟢 В порядке</v>
      </c>
      <c r="L106" s="8"/>
    </row>
    <row r="107" spans="1:12" ht="21.95" customHeight="1" x14ac:dyDescent="0.3">
      <c r="A107" s="1">
        <v>103</v>
      </c>
      <c r="B107" s="2" t="s">
        <v>298</v>
      </c>
      <c r="C107" s="2" t="s">
        <v>652</v>
      </c>
      <c r="D107" s="2" t="s">
        <v>653</v>
      </c>
      <c r="E107" s="3" t="s">
        <v>448</v>
      </c>
      <c r="F107" s="36">
        <v>46239</v>
      </c>
      <c r="G107" s="19">
        <f t="shared" si="15"/>
        <v>46178</v>
      </c>
      <c r="H107" s="19">
        <f t="shared" si="16"/>
        <v>46232</v>
      </c>
      <c r="I107" s="19">
        <f t="shared" si="17"/>
        <v>46237</v>
      </c>
      <c r="J107" s="21">
        <f t="shared" si="18"/>
        <v>46237</v>
      </c>
      <c r="K107" s="14" t="str">
        <f t="shared" ca="1" si="19"/>
        <v>🟢 В порядке</v>
      </c>
      <c r="L107" s="1"/>
    </row>
    <row r="108" spans="1:12" ht="21.95" customHeight="1" x14ac:dyDescent="0.3">
      <c r="A108" s="8">
        <v>104</v>
      </c>
      <c r="B108" s="9" t="s">
        <v>298</v>
      </c>
      <c r="C108" s="9" t="s">
        <v>654</v>
      </c>
      <c r="D108" s="9" t="s">
        <v>655</v>
      </c>
      <c r="E108" s="10" t="s">
        <v>448</v>
      </c>
      <c r="F108" s="36">
        <v>46178</v>
      </c>
      <c r="G108" s="20">
        <f t="shared" si="15"/>
        <v>46117</v>
      </c>
      <c r="H108" s="20">
        <f t="shared" si="16"/>
        <v>46171</v>
      </c>
      <c r="I108" s="20">
        <f t="shared" si="17"/>
        <v>46176</v>
      </c>
      <c r="J108" s="21">
        <f t="shared" si="18"/>
        <v>46176</v>
      </c>
      <c r="K108" s="14" t="str">
        <f t="shared" ca="1" si="19"/>
        <v>🟢 В порядке</v>
      </c>
      <c r="L108" s="8"/>
    </row>
    <row r="109" spans="1:12" ht="21.95" customHeight="1" x14ac:dyDescent="0.3">
      <c r="A109" s="1">
        <v>105</v>
      </c>
      <c r="B109" s="2" t="s">
        <v>656</v>
      </c>
      <c r="C109" s="2" t="s">
        <v>657</v>
      </c>
      <c r="D109" s="2" t="s">
        <v>658</v>
      </c>
      <c r="E109" s="3" t="s">
        <v>448</v>
      </c>
      <c r="F109" s="36">
        <v>46268</v>
      </c>
      <c r="G109" s="19">
        <f t="shared" si="15"/>
        <v>46206</v>
      </c>
      <c r="H109" s="19">
        <f t="shared" si="16"/>
        <v>46261</v>
      </c>
      <c r="I109" s="19">
        <f t="shared" si="17"/>
        <v>46266</v>
      </c>
      <c r="J109" s="21">
        <f t="shared" si="18"/>
        <v>46266</v>
      </c>
      <c r="K109" s="14" t="str">
        <f t="shared" ca="1" si="19"/>
        <v>🟢 В порядке</v>
      </c>
      <c r="L109" s="1"/>
    </row>
    <row r="110" spans="1:12" ht="21.95" customHeight="1" x14ac:dyDescent="0.3">
      <c r="A110" s="8">
        <v>106</v>
      </c>
      <c r="B110" s="9" t="s">
        <v>656</v>
      </c>
      <c r="C110" s="9" t="s">
        <v>659</v>
      </c>
      <c r="D110" s="9" t="s">
        <v>660</v>
      </c>
      <c r="E110" s="10" t="s">
        <v>448</v>
      </c>
      <c r="F110" s="36">
        <v>46512</v>
      </c>
      <c r="G110" s="20">
        <f t="shared" si="15"/>
        <v>46451</v>
      </c>
      <c r="H110" s="20">
        <f t="shared" si="16"/>
        <v>46505</v>
      </c>
      <c r="I110" s="20">
        <f t="shared" si="17"/>
        <v>46510</v>
      </c>
      <c r="J110" s="21">
        <f t="shared" si="18"/>
        <v>46510</v>
      </c>
      <c r="K110" s="14" t="str">
        <f t="shared" ca="1" si="19"/>
        <v>🟢 В порядке</v>
      </c>
      <c r="L110" s="8"/>
    </row>
    <row r="111" spans="1:12" ht="21.95" customHeight="1" x14ac:dyDescent="0.3">
      <c r="A111" s="1">
        <v>107</v>
      </c>
      <c r="B111" s="2" t="s">
        <v>305</v>
      </c>
      <c r="C111" s="2" t="s">
        <v>661</v>
      </c>
      <c r="D111" s="2" t="s">
        <v>662</v>
      </c>
      <c r="E111" s="3" t="s">
        <v>448</v>
      </c>
      <c r="F111" s="36">
        <v>46300</v>
      </c>
      <c r="G111" s="19">
        <f t="shared" si="15"/>
        <v>46239</v>
      </c>
      <c r="H111" s="19">
        <f t="shared" si="16"/>
        <v>46293</v>
      </c>
      <c r="I111" s="19">
        <f t="shared" si="17"/>
        <v>46298</v>
      </c>
      <c r="J111" s="21">
        <f t="shared" si="18"/>
        <v>46298</v>
      </c>
      <c r="K111" s="14" t="str">
        <f t="shared" ca="1" si="19"/>
        <v>🟢 В порядке</v>
      </c>
      <c r="L111" s="1"/>
    </row>
    <row r="112" spans="1:12" ht="21.95" customHeight="1" x14ac:dyDescent="0.3">
      <c r="A112" s="8">
        <v>108</v>
      </c>
      <c r="B112" s="9" t="s">
        <v>305</v>
      </c>
      <c r="C112" s="9" t="s">
        <v>663</v>
      </c>
      <c r="D112" s="9" t="s">
        <v>664</v>
      </c>
      <c r="E112" s="10" t="s">
        <v>448</v>
      </c>
      <c r="F112" s="36">
        <v>46451</v>
      </c>
      <c r="G112" s="20">
        <f t="shared" si="15"/>
        <v>46392</v>
      </c>
      <c r="H112" s="20">
        <f t="shared" si="16"/>
        <v>46444</v>
      </c>
      <c r="I112" s="20">
        <f t="shared" si="17"/>
        <v>46449</v>
      </c>
      <c r="J112" s="21">
        <f t="shared" si="18"/>
        <v>46449</v>
      </c>
      <c r="K112" s="14" t="str">
        <f t="shared" ca="1" si="19"/>
        <v>🟢 В порядке</v>
      </c>
      <c r="L112" s="8"/>
    </row>
    <row r="113" spans="1:12" ht="21.95" customHeight="1" x14ac:dyDescent="0.3">
      <c r="A113" s="1">
        <v>109</v>
      </c>
      <c r="B113" s="2" t="s">
        <v>310</v>
      </c>
      <c r="C113" s="2" t="s">
        <v>665</v>
      </c>
      <c r="D113" s="2" t="s">
        <v>666</v>
      </c>
      <c r="E113" s="3" t="s">
        <v>448</v>
      </c>
      <c r="F113" s="36">
        <v>46331</v>
      </c>
      <c r="G113" s="19">
        <f t="shared" si="15"/>
        <v>46270</v>
      </c>
      <c r="H113" s="19">
        <f t="shared" si="16"/>
        <v>46324</v>
      </c>
      <c r="I113" s="19">
        <f t="shared" si="17"/>
        <v>46329</v>
      </c>
      <c r="J113" s="21">
        <f t="shared" si="18"/>
        <v>46329</v>
      </c>
      <c r="K113" s="14" t="str">
        <f t="shared" ca="1" si="19"/>
        <v>🟢 В порядке</v>
      </c>
      <c r="L113" s="1"/>
    </row>
    <row r="114" spans="1:12" ht="21.95" customHeight="1" x14ac:dyDescent="0.3">
      <c r="A114" s="8">
        <v>110</v>
      </c>
      <c r="B114" s="9" t="s">
        <v>310</v>
      </c>
      <c r="C114" s="9" t="s">
        <v>667</v>
      </c>
      <c r="D114" s="9" t="s">
        <v>668</v>
      </c>
      <c r="E114" s="10" t="s">
        <v>448</v>
      </c>
      <c r="F114" s="36">
        <v>46273</v>
      </c>
      <c r="G114" s="20">
        <f t="shared" si="15"/>
        <v>46211</v>
      </c>
      <c r="H114" s="20">
        <f t="shared" si="16"/>
        <v>46266</v>
      </c>
      <c r="I114" s="20">
        <f t="shared" si="17"/>
        <v>46271</v>
      </c>
      <c r="J114" s="21">
        <f t="shared" si="18"/>
        <v>46271</v>
      </c>
      <c r="K114" s="14" t="str">
        <f t="shared" ca="1" si="19"/>
        <v>🟢 В порядке</v>
      </c>
      <c r="L114" s="8"/>
    </row>
    <row r="115" spans="1:12" ht="21.95" customHeight="1" x14ac:dyDescent="0.3">
      <c r="A115" s="1">
        <v>111</v>
      </c>
      <c r="B115" s="2" t="s">
        <v>317</v>
      </c>
      <c r="C115" s="2" t="s">
        <v>669</v>
      </c>
      <c r="D115" s="2" t="s">
        <v>670</v>
      </c>
      <c r="E115" s="3" t="s">
        <v>448</v>
      </c>
      <c r="F115" s="36">
        <v>46451</v>
      </c>
      <c r="G115" s="19">
        <f t="shared" si="15"/>
        <v>46392</v>
      </c>
      <c r="H115" s="19">
        <f t="shared" si="16"/>
        <v>46444</v>
      </c>
      <c r="I115" s="19">
        <f t="shared" si="17"/>
        <v>46449</v>
      </c>
      <c r="J115" s="21">
        <f t="shared" si="18"/>
        <v>46449</v>
      </c>
      <c r="K115" s="14" t="str">
        <f t="shared" ca="1" si="19"/>
        <v>🟢 В порядке</v>
      </c>
      <c r="L115" s="1"/>
    </row>
    <row r="116" spans="1:12" ht="21.95" customHeight="1" x14ac:dyDescent="0.3">
      <c r="A116" s="8">
        <v>112</v>
      </c>
      <c r="B116" s="9" t="s">
        <v>317</v>
      </c>
      <c r="C116" s="9" t="s">
        <v>671</v>
      </c>
      <c r="D116" s="9" t="s">
        <v>672</v>
      </c>
      <c r="E116" s="10" t="s">
        <v>448</v>
      </c>
      <c r="F116" s="36">
        <v>46392</v>
      </c>
      <c r="G116" s="20">
        <f t="shared" si="15"/>
        <v>46331</v>
      </c>
      <c r="H116" s="20">
        <f t="shared" si="16"/>
        <v>46385</v>
      </c>
      <c r="I116" s="20">
        <f t="shared" si="17"/>
        <v>46390</v>
      </c>
      <c r="J116" s="21">
        <f t="shared" si="18"/>
        <v>46390</v>
      </c>
      <c r="K116" s="14" t="str">
        <f t="shared" ca="1" si="19"/>
        <v>🟢 В порядке</v>
      </c>
      <c r="L116" s="8"/>
    </row>
    <row r="117" spans="1:12" ht="21.95" customHeight="1" x14ac:dyDescent="0.3">
      <c r="A117" s="1">
        <v>113</v>
      </c>
      <c r="B117" s="2" t="s">
        <v>317</v>
      </c>
      <c r="C117" s="2" t="s">
        <v>673</v>
      </c>
      <c r="D117" s="2" t="s">
        <v>674</v>
      </c>
      <c r="E117" s="3" t="s">
        <v>448</v>
      </c>
      <c r="F117" s="36">
        <v>46451</v>
      </c>
      <c r="G117" s="19">
        <f t="shared" si="15"/>
        <v>46392</v>
      </c>
      <c r="H117" s="19">
        <f t="shared" si="16"/>
        <v>46444</v>
      </c>
      <c r="I117" s="19">
        <f t="shared" si="17"/>
        <v>46449</v>
      </c>
      <c r="J117" s="21">
        <f t="shared" si="18"/>
        <v>46449</v>
      </c>
      <c r="K117" s="14" t="str">
        <f t="shared" ca="1" si="19"/>
        <v>🟢 В порядке</v>
      </c>
      <c r="L117" s="1"/>
    </row>
    <row r="118" spans="1:12" ht="21.95" customHeight="1" x14ac:dyDescent="0.3">
      <c r="A118" s="8">
        <v>114</v>
      </c>
      <c r="B118" s="9" t="s">
        <v>317</v>
      </c>
      <c r="C118" s="9" t="s">
        <v>675</v>
      </c>
      <c r="D118" s="9" t="s">
        <v>676</v>
      </c>
      <c r="E118" s="10" t="s">
        <v>448</v>
      </c>
      <c r="F118" s="36">
        <v>46392</v>
      </c>
      <c r="G118" s="20">
        <f t="shared" si="15"/>
        <v>46331</v>
      </c>
      <c r="H118" s="20">
        <f t="shared" si="16"/>
        <v>46385</v>
      </c>
      <c r="I118" s="20">
        <f t="shared" si="17"/>
        <v>46390</v>
      </c>
      <c r="J118" s="21">
        <f t="shared" si="18"/>
        <v>46390</v>
      </c>
      <c r="K118" s="14" t="str">
        <f t="shared" ca="1" si="19"/>
        <v>🟢 В порядке</v>
      </c>
      <c r="L118" s="8"/>
    </row>
    <row r="119" spans="1:12" ht="21.95" customHeight="1" x14ac:dyDescent="0.3">
      <c r="A119" s="1">
        <v>115</v>
      </c>
      <c r="B119" s="2" t="s">
        <v>317</v>
      </c>
      <c r="C119" s="2" t="s">
        <v>677</v>
      </c>
      <c r="D119" s="2" t="s">
        <v>678</v>
      </c>
      <c r="E119" s="3" t="s">
        <v>448</v>
      </c>
      <c r="F119" s="36">
        <v>46361</v>
      </c>
      <c r="G119" s="19">
        <f t="shared" si="15"/>
        <v>46300</v>
      </c>
      <c r="H119" s="19">
        <f t="shared" si="16"/>
        <v>46354</v>
      </c>
      <c r="I119" s="19">
        <f t="shared" si="17"/>
        <v>46359</v>
      </c>
      <c r="J119" s="21">
        <f t="shared" si="18"/>
        <v>46359</v>
      </c>
      <c r="K119" s="14" t="str">
        <f t="shared" ca="1" si="19"/>
        <v>🟢 В порядке</v>
      </c>
      <c r="L119" s="1"/>
    </row>
    <row r="120" spans="1:12" ht="21.95" customHeight="1" x14ac:dyDescent="0.3">
      <c r="A120" s="8">
        <v>116</v>
      </c>
      <c r="B120" s="9" t="s">
        <v>317</v>
      </c>
      <c r="C120" s="9" t="s">
        <v>679</v>
      </c>
      <c r="D120" s="9" t="s">
        <v>680</v>
      </c>
      <c r="E120" s="10" t="s">
        <v>448</v>
      </c>
      <c r="F120" s="36">
        <v>46279</v>
      </c>
      <c r="G120" s="20">
        <f t="shared" si="15"/>
        <v>46217</v>
      </c>
      <c r="H120" s="20">
        <f t="shared" si="16"/>
        <v>46272</v>
      </c>
      <c r="I120" s="20">
        <f t="shared" si="17"/>
        <v>46277</v>
      </c>
      <c r="J120" s="21">
        <f t="shared" si="18"/>
        <v>46277</v>
      </c>
      <c r="K120" s="14" t="str">
        <f t="shared" ca="1" si="19"/>
        <v>🟢 В порядке</v>
      </c>
      <c r="L120" s="8"/>
    </row>
    <row r="121" spans="1:12" ht="21.95" customHeight="1" x14ac:dyDescent="0.3">
      <c r="A121" s="1">
        <v>117</v>
      </c>
      <c r="B121" s="2" t="s">
        <v>317</v>
      </c>
      <c r="C121" s="2" t="s">
        <v>681</v>
      </c>
      <c r="D121" s="2" t="s">
        <v>682</v>
      </c>
      <c r="E121" s="3" t="s">
        <v>448</v>
      </c>
      <c r="F121" s="36">
        <v>46392</v>
      </c>
      <c r="G121" s="19">
        <f t="shared" si="15"/>
        <v>46331</v>
      </c>
      <c r="H121" s="19">
        <f t="shared" si="16"/>
        <v>46385</v>
      </c>
      <c r="I121" s="19">
        <f t="shared" si="17"/>
        <v>46390</v>
      </c>
      <c r="J121" s="21">
        <f t="shared" si="18"/>
        <v>46390</v>
      </c>
      <c r="K121" s="14" t="str">
        <f t="shared" ca="1" si="19"/>
        <v>🟢 В порядке</v>
      </c>
      <c r="L121" s="1"/>
    </row>
    <row r="122" spans="1:12" ht="21.95" customHeight="1" x14ac:dyDescent="0.3">
      <c r="A122" s="8">
        <v>118</v>
      </c>
      <c r="B122" s="9" t="s">
        <v>317</v>
      </c>
      <c r="C122" s="9" t="s">
        <v>683</v>
      </c>
      <c r="D122" s="9" t="s">
        <v>684</v>
      </c>
      <c r="E122" s="10" t="s">
        <v>448</v>
      </c>
      <c r="F122" s="36">
        <v>46451</v>
      </c>
      <c r="G122" s="20">
        <f t="shared" si="15"/>
        <v>46392</v>
      </c>
      <c r="H122" s="20">
        <f t="shared" si="16"/>
        <v>46444</v>
      </c>
      <c r="I122" s="20">
        <f t="shared" si="17"/>
        <v>46449</v>
      </c>
      <c r="J122" s="21">
        <f t="shared" si="18"/>
        <v>46449</v>
      </c>
      <c r="K122" s="14" t="str">
        <f t="shared" ca="1" si="19"/>
        <v>🟢 В порядке</v>
      </c>
      <c r="L122" s="8"/>
    </row>
    <row r="123" spans="1:12" ht="21.95" customHeight="1" x14ac:dyDescent="0.3">
      <c r="A123" s="1">
        <v>119</v>
      </c>
      <c r="B123" s="2" t="s">
        <v>317</v>
      </c>
      <c r="C123" s="2" t="s">
        <v>685</v>
      </c>
      <c r="D123" s="2" t="s">
        <v>686</v>
      </c>
      <c r="E123" s="3" t="s">
        <v>448</v>
      </c>
      <c r="F123" s="36">
        <v>46392</v>
      </c>
      <c r="G123" s="19">
        <f t="shared" si="15"/>
        <v>46331</v>
      </c>
      <c r="H123" s="19">
        <f t="shared" si="16"/>
        <v>46385</v>
      </c>
      <c r="I123" s="19">
        <f t="shared" si="17"/>
        <v>46390</v>
      </c>
      <c r="J123" s="21">
        <f t="shared" si="18"/>
        <v>46390</v>
      </c>
      <c r="K123" s="14" t="str">
        <f t="shared" ca="1" si="19"/>
        <v>🟢 В порядке</v>
      </c>
      <c r="L123" s="1"/>
    </row>
    <row r="124" spans="1:12" ht="21.95" customHeight="1" x14ac:dyDescent="0.3">
      <c r="A124" s="8">
        <v>120</v>
      </c>
      <c r="B124" s="9" t="s">
        <v>317</v>
      </c>
      <c r="C124" s="9" t="s">
        <v>687</v>
      </c>
      <c r="D124" s="9" t="s">
        <v>688</v>
      </c>
      <c r="E124" s="10" t="s">
        <v>448</v>
      </c>
      <c r="F124" s="36">
        <v>46451</v>
      </c>
      <c r="G124" s="20">
        <f t="shared" si="15"/>
        <v>46392</v>
      </c>
      <c r="H124" s="20">
        <f t="shared" si="16"/>
        <v>46444</v>
      </c>
      <c r="I124" s="20">
        <f t="shared" si="17"/>
        <v>46449</v>
      </c>
      <c r="J124" s="21">
        <f t="shared" si="18"/>
        <v>46449</v>
      </c>
      <c r="K124" s="14" t="str">
        <f t="shared" ca="1" si="19"/>
        <v>🟢 В порядке</v>
      </c>
      <c r="L124" s="8"/>
    </row>
    <row r="125" spans="1:12" ht="21.95" customHeight="1" x14ac:dyDescent="0.3">
      <c r="A125" s="1">
        <v>121</v>
      </c>
      <c r="B125" s="2" t="s">
        <v>317</v>
      </c>
      <c r="C125" s="2" t="s">
        <v>689</v>
      </c>
      <c r="D125" s="2" t="s">
        <v>690</v>
      </c>
      <c r="E125" s="3" t="s">
        <v>448</v>
      </c>
      <c r="F125" s="36">
        <v>46392</v>
      </c>
      <c r="G125" s="19">
        <f t="shared" si="15"/>
        <v>46331</v>
      </c>
      <c r="H125" s="19">
        <f t="shared" si="16"/>
        <v>46385</v>
      </c>
      <c r="I125" s="19">
        <f t="shared" si="17"/>
        <v>46390</v>
      </c>
      <c r="J125" s="21">
        <f t="shared" si="18"/>
        <v>46390</v>
      </c>
      <c r="K125" s="14" t="str">
        <f t="shared" ca="1" si="19"/>
        <v>🟢 В порядке</v>
      </c>
      <c r="L125" s="1"/>
    </row>
    <row r="126" spans="1:12" ht="21.95" customHeight="1" x14ac:dyDescent="0.3">
      <c r="A126" s="8">
        <v>122</v>
      </c>
      <c r="B126" s="9" t="s">
        <v>317</v>
      </c>
      <c r="C126" s="9" t="s">
        <v>691</v>
      </c>
      <c r="D126" s="9" t="s">
        <v>692</v>
      </c>
      <c r="E126" s="10" t="s">
        <v>448</v>
      </c>
      <c r="F126" s="36">
        <v>46208</v>
      </c>
      <c r="G126" s="20">
        <f t="shared" si="15"/>
        <v>46147</v>
      </c>
      <c r="H126" s="20">
        <f t="shared" si="16"/>
        <v>46201</v>
      </c>
      <c r="I126" s="20">
        <f t="shared" si="17"/>
        <v>46206</v>
      </c>
      <c r="J126" s="21">
        <f t="shared" si="18"/>
        <v>46206</v>
      </c>
      <c r="K126" s="14" t="str">
        <f t="shared" ca="1" si="19"/>
        <v>🟢 В порядке</v>
      </c>
      <c r="L126" s="8"/>
    </row>
    <row r="127" spans="1:12" ht="21.95" customHeight="1" x14ac:dyDescent="0.3">
      <c r="A127" s="1">
        <v>123</v>
      </c>
      <c r="B127" s="2" t="s">
        <v>317</v>
      </c>
      <c r="C127" s="2" t="s">
        <v>693</v>
      </c>
      <c r="D127" s="2" t="s">
        <v>694</v>
      </c>
      <c r="E127" s="3" t="s">
        <v>448</v>
      </c>
      <c r="F127" s="36">
        <v>46392</v>
      </c>
      <c r="G127" s="19">
        <f t="shared" si="15"/>
        <v>46331</v>
      </c>
      <c r="H127" s="19">
        <f t="shared" si="16"/>
        <v>46385</v>
      </c>
      <c r="I127" s="19">
        <f t="shared" si="17"/>
        <v>46390</v>
      </c>
      <c r="J127" s="21">
        <f t="shared" si="18"/>
        <v>46390</v>
      </c>
      <c r="K127" s="14" t="str">
        <f t="shared" ca="1" si="19"/>
        <v>🟢 В порядке</v>
      </c>
      <c r="L127" s="1"/>
    </row>
    <row r="128" spans="1:12" ht="21.95" customHeight="1" x14ac:dyDescent="0.3">
      <c r="A128" s="8">
        <v>124</v>
      </c>
      <c r="B128" s="9" t="s">
        <v>317</v>
      </c>
      <c r="C128" s="9" t="s">
        <v>695</v>
      </c>
      <c r="D128" s="9" t="s">
        <v>696</v>
      </c>
      <c r="E128" s="10" t="s">
        <v>448</v>
      </c>
      <c r="F128" s="36">
        <v>46392</v>
      </c>
      <c r="G128" s="20">
        <f t="shared" si="15"/>
        <v>46331</v>
      </c>
      <c r="H128" s="20">
        <f t="shared" si="16"/>
        <v>46385</v>
      </c>
      <c r="I128" s="20">
        <f t="shared" si="17"/>
        <v>46390</v>
      </c>
      <c r="J128" s="21">
        <f t="shared" si="18"/>
        <v>46390</v>
      </c>
      <c r="K128" s="14" t="str">
        <f t="shared" ca="1" si="19"/>
        <v>🟢 В порядке</v>
      </c>
      <c r="L128" s="8"/>
    </row>
    <row r="129" spans="1:12" ht="21.95" customHeight="1" x14ac:dyDescent="0.3">
      <c r="A129" s="1">
        <v>125</v>
      </c>
      <c r="B129" s="2" t="s">
        <v>317</v>
      </c>
      <c r="C129" s="2" t="s">
        <v>697</v>
      </c>
      <c r="D129" s="2" t="s">
        <v>698</v>
      </c>
      <c r="E129" s="3" t="s">
        <v>448</v>
      </c>
      <c r="F129" s="36">
        <v>46239</v>
      </c>
      <c r="G129" s="19">
        <f t="shared" si="15"/>
        <v>46178</v>
      </c>
      <c r="H129" s="19">
        <f t="shared" si="16"/>
        <v>46232</v>
      </c>
      <c r="I129" s="19">
        <f t="shared" si="17"/>
        <v>46237</v>
      </c>
      <c r="J129" s="21">
        <f t="shared" si="18"/>
        <v>46237</v>
      </c>
      <c r="K129" s="14" t="str">
        <f t="shared" ca="1" si="19"/>
        <v>🟢 В порядке</v>
      </c>
      <c r="L129" s="1"/>
    </row>
    <row r="130" spans="1:12" ht="21.95" customHeight="1" x14ac:dyDescent="0.3">
      <c r="A130" s="8">
        <v>126</v>
      </c>
      <c r="B130" s="9" t="s">
        <v>317</v>
      </c>
      <c r="C130" s="9" t="s">
        <v>699</v>
      </c>
      <c r="D130" s="9" t="s">
        <v>700</v>
      </c>
      <c r="E130" s="10" t="s">
        <v>448</v>
      </c>
      <c r="F130" s="36">
        <v>46239</v>
      </c>
      <c r="G130" s="20">
        <f t="shared" si="15"/>
        <v>46178</v>
      </c>
      <c r="H130" s="20">
        <f t="shared" si="16"/>
        <v>46232</v>
      </c>
      <c r="I130" s="20">
        <f t="shared" si="17"/>
        <v>46237</v>
      </c>
      <c r="J130" s="21">
        <f t="shared" si="18"/>
        <v>46237</v>
      </c>
      <c r="K130" s="14" t="str">
        <f t="shared" ca="1" si="19"/>
        <v>🟢 В порядке</v>
      </c>
      <c r="L130" s="8"/>
    </row>
    <row r="131" spans="1:12" ht="21.95" customHeight="1" x14ac:dyDescent="0.3">
      <c r="A131" s="1">
        <v>127</v>
      </c>
      <c r="B131" s="2" t="s">
        <v>317</v>
      </c>
      <c r="C131" s="2" t="s">
        <v>701</v>
      </c>
      <c r="D131" s="2" t="s">
        <v>702</v>
      </c>
      <c r="E131" s="3" t="s">
        <v>448</v>
      </c>
      <c r="F131" s="36">
        <v>46290</v>
      </c>
      <c r="G131" s="19">
        <f t="shared" si="15"/>
        <v>46228</v>
      </c>
      <c r="H131" s="19">
        <f t="shared" si="16"/>
        <v>46283</v>
      </c>
      <c r="I131" s="19">
        <f t="shared" si="17"/>
        <v>46288</v>
      </c>
      <c r="J131" s="21">
        <f t="shared" si="18"/>
        <v>46288</v>
      </c>
      <c r="K131" s="14" t="str">
        <f t="shared" ca="1" si="19"/>
        <v>🟢 В порядке</v>
      </c>
      <c r="L131" s="1"/>
    </row>
    <row r="132" spans="1:12" ht="21.95" customHeight="1" x14ac:dyDescent="0.3">
      <c r="A132" s="8">
        <v>128</v>
      </c>
      <c r="B132" s="9" t="s">
        <v>317</v>
      </c>
      <c r="C132" s="9" t="s">
        <v>703</v>
      </c>
      <c r="D132" s="9" t="s">
        <v>704</v>
      </c>
      <c r="E132" s="10" t="s">
        <v>448</v>
      </c>
      <c r="F132" s="36">
        <v>46291</v>
      </c>
      <c r="G132" s="20">
        <f t="shared" si="15"/>
        <v>46229</v>
      </c>
      <c r="H132" s="20">
        <f t="shared" si="16"/>
        <v>46284</v>
      </c>
      <c r="I132" s="20">
        <f t="shared" si="17"/>
        <v>46289</v>
      </c>
      <c r="J132" s="21">
        <f t="shared" si="18"/>
        <v>46289</v>
      </c>
      <c r="K132" s="14" t="str">
        <f t="shared" ca="1" si="19"/>
        <v>🟢 В порядке</v>
      </c>
      <c r="L132" s="8"/>
    </row>
    <row r="133" spans="1:12" ht="21.95" customHeight="1" x14ac:dyDescent="0.3">
      <c r="A133" s="1">
        <v>129</v>
      </c>
      <c r="B133" s="2" t="s">
        <v>317</v>
      </c>
      <c r="C133" s="2" t="s">
        <v>705</v>
      </c>
      <c r="D133" s="2" t="s">
        <v>706</v>
      </c>
      <c r="E133" s="3" t="s">
        <v>448</v>
      </c>
      <c r="F133" s="36">
        <v>46292</v>
      </c>
      <c r="G133" s="19">
        <f t="shared" ref="G133:G164" si="20">IF(F133="","",DATE(YEAR(F133),MONTH(F133)-2,DAY(F133)))</f>
        <v>46230</v>
      </c>
      <c r="H133" s="19">
        <f t="shared" ref="H133:H140" si="21">IF(F133="","",F133-7)</f>
        <v>46285</v>
      </c>
      <c r="I133" s="19">
        <f t="shared" ref="I133:I140" si="22">IF(F133="","",F133-2)</f>
        <v>46290</v>
      </c>
      <c r="J133" s="21">
        <f t="shared" ref="J133:J140" si="23">IF(E133="","",F133-2)</f>
        <v>46290</v>
      </c>
      <c r="K133" s="14" t="str">
        <f t="shared" ref="K133:K164" ca="1" si="24">IF(F133="","❓ Не указана",IF(F133&lt;TODAY(),"🔴 Просрочена",IF(J133&lt;=TODAY(),"🔴 Просрочена скоро",IF(I133&lt;=TODAY(),"🟡 Скоро (-7 дн.)",IF(H133&lt;=TODAY(),"🟡 Скоро (-1 мес.)",IF(G133&lt;=TODAY(),"🟡 Скоро (-2 мес.)","🟢 В порядке"))))))</f>
        <v>🟢 В порядке</v>
      </c>
      <c r="L133" s="1"/>
    </row>
    <row r="134" spans="1:12" ht="21.95" customHeight="1" x14ac:dyDescent="0.3">
      <c r="A134" s="8">
        <v>130</v>
      </c>
      <c r="B134" s="9" t="s">
        <v>317</v>
      </c>
      <c r="C134" s="9" t="s">
        <v>707</v>
      </c>
      <c r="D134" s="9" t="s">
        <v>708</v>
      </c>
      <c r="E134" s="10" t="s">
        <v>448</v>
      </c>
      <c r="F134" s="36">
        <v>46178</v>
      </c>
      <c r="G134" s="20">
        <f t="shared" si="20"/>
        <v>46117</v>
      </c>
      <c r="H134" s="20">
        <f t="shared" si="21"/>
        <v>46171</v>
      </c>
      <c r="I134" s="20">
        <f t="shared" si="22"/>
        <v>46176</v>
      </c>
      <c r="J134" s="21">
        <f t="shared" si="23"/>
        <v>46176</v>
      </c>
      <c r="K134" s="17" t="str">
        <f t="shared" ref="K134:K140" ca="1" si="25">IF(F45="","❓ Не указана",IF(F45&lt;TODAY(),"🔴 Просрочена",IF(J45&lt;=TODAY(),"🔴 Просрочена скоро",IF(I45&lt;=TODAY(),"🟡 Скоро (-7 дн.)",IF(H45&lt;=TODAY(),"🟡 Скоро (-1 мес.)",IF(G45&lt;=TODAY(),"🟡 Скоро (-2 мес.)","🟢 В порядке"))))))</f>
        <v>🟢 В порядке</v>
      </c>
      <c r="L134" s="8"/>
    </row>
    <row r="135" spans="1:12" ht="21.95" customHeight="1" x14ac:dyDescent="0.3">
      <c r="A135" s="1">
        <v>131</v>
      </c>
      <c r="B135" s="2" t="s">
        <v>317</v>
      </c>
      <c r="C135" s="2" t="s">
        <v>709</v>
      </c>
      <c r="D135" s="2" t="s">
        <v>710</v>
      </c>
      <c r="E135" s="3" t="s">
        <v>448</v>
      </c>
      <c r="F135" s="36">
        <v>46294</v>
      </c>
      <c r="G135" s="19">
        <f t="shared" si="20"/>
        <v>46232</v>
      </c>
      <c r="H135" s="19">
        <f t="shared" si="21"/>
        <v>46287</v>
      </c>
      <c r="I135" s="19">
        <f t="shared" si="22"/>
        <v>46292</v>
      </c>
      <c r="J135" s="21">
        <f t="shared" si="23"/>
        <v>46292</v>
      </c>
      <c r="K135" s="17" t="str">
        <f t="shared" ca="1" si="25"/>
        <v>🟢 В порядке</v>
      </c>
      <c r="L135" s="1"/>
    </row>
    <row r="136" spans="1:12" ht="21.95" customHeight="1" x14ac:dyDescent="0.3">
      <c r="A136" s="8">
        <v>132</v>
      </c>
      <c r="B136" s="9" t="s">
        <v>317</v>
      </c>
      <c r="C136" s="9" t="s">
        <v>711</v>
      </c>
      <c r="D136" s="9" t="s">
        <v>712</v>
      </c>
      <c r="E136" s="10" t="s">
        <v>448</v>
      </c>
      <c r="F136" s="36">
        <v>46295</v>
      </c>
      <c r="G136" s="20">
        <f t="shared" si="20"/>
        <v>46233</v>
      </c>
      <c r="H136" s="20">
        <f t="shared" si="21"/>
        <v>46288</v>
      </c>
      <c r="I136" s="20">
        <f t="shared" si="22"/>
        <v>46293</v>
      </c>
      <c r="J136" s="21">
        <f t="shared" si="23"/>
        <v>46293</v>
      </c>
      <c r="K136" s="17" t="str">
        <f t="shared" ca="1" si="25"/>
        <v>🟢 В порядке</v>
      </c>
      <c r="L136" s="8"/>
    </row>
    <row r="137" spans="1:12" ht="21.95" customHeight="1" x14ac:dyDescent="0.3">
      <c r="A137" s="1">
        <v>133</v>
      </c>
      <c r="B137" s="2" t="s">
        <v>317</v>
      </c>
      <c r="C137" s="2" t="s">
        <v>713</v>
      </c>
      <c r="D137" s="2" t="s">
        <v>714</v>
      </c>
      <c r="E137" s="3" t="s">
        <v>448</v>
      </c>
      <c r="F137" s="36">
        <v>46296</v>
      </c>
      <c r="G137" s="19">
        <f t="shared" si="20"/>
        <v>46235</v>
      </c>
      <c r="H137" s="19">
        <f t="shared" si="21"/>
        <v>46289</v>
      </c>
      <c r="I137" s="19">
        <f t="shared" si="22"/>
        <v>46294</v>
      </c>
      <c r="J137" s="21">
        <f t="shared" si="23"/>
        <v>46294</v>
      </c>
      <c r="K137" s="17" t="str">
        <f t="shared" ca="1" si="25"/>
        <v>🟢 В порядке</v>
      </c>
      <c r="L137" s="1"/>
    </row>
    <row r="138" spans="1:12" ht="21.95" customHeight="1" x14ac:dyDescent="0.3">
      <c r="A138" s="8">
        <v>134</v>
      </c>
      <c r="B138" s="9" t="s">
        <v>317</v>
      </c>
      <c r="C138" s="9" t="s">
        <v>715</v>
      </c>
      <c r="D138" s="9" t="s">
        <v>716</v>
      </c>
      <c r="E138" s="10" t="s">
        <v>448</v>
      </c>
      <c r="F138" s="36">
        <v>46297</v>
      </c>
      <c r="G138" s="20">
        <f t="shared" si="20"/>
        <v>46236</v>
      </c>
      <c r="H138" s="20">
        <f t="shared" si="21"/>
        <v>46290</v>
      </c>
      <c r="I138" s="20">
        <f t="shared" si="22"/>
        <v>46295</v>
      </c>
      <c r="J138" s="21">
        <f t="shared" si="23"/>
        <v>46295</v>
      </c>
      <c r="K138" s="17" t="str">
        <f t="shared" ca="1" si="25"/>
        <v>🟢 В порядке</v>
      </c>
      <c r="L138" s="8"/>
    </row>
    <row r="139" spans="1:12" ht="21.95" customHeight="1" x14ac:dyDescent="0.3">
      <c r="A139" s="1">
        <v>135</v>
      </c>
      <c r="B139" s="2" t="s">
        <v>317</v>
      </c>
      <c r="C139" s="2" t="s">
        <v>717</v>
      </c>
      <c r="D139" s="2" t="s">
        <v>718</v>
      </c>
      <c r="E139" s="3" t="s">
        <v>448</v>
      </c>
      <c r="F139" s="36">
        <v>46298</v>
      </c>
      <c r="G139" s="19">
        <f t="shared" si="20"/>
        <v>46237</v>
      </c>
      <c r="H139" s="19">
        <f t="shared" si="21"/>
        <v>46291</v>
      </c>
      <c r="I139" s="19">
        <f t="shared" si="22"/>
        <v>46296</v>
      </c>
      <c r="J139" s="21">
        <f t="shared" si="23"/>
        <v>46296</v>
      </c>
      <c r="K139" s="17" t="str">
        <f t="shared" ca="1" si="25"/>
        <v>🟢 В порядке</v>
      </c>
      <c r="L139" s="1"/>
    </row>
    <row r="140" spans="1:12" ht="21.95" customHeight="1" x14ac:dyDescent="0.3">
      <c r="A140" s="8">
        <v>136</v>
      </c>
      <c r="B140" s="9" t="s">
        <v>317</v>
      </c>
      <c r="C140" s="9" t="s">
        <v>719</v>
      </c>
      <c r="D140" s="9" t="s">
        <v>720</v>
      </c>
      <c r="E140" s="10" t="s">
        <v>448</v>
      </c>
      <c r="F140" s="36">
        <v>46299</v>
      </c>
      <c r="G140" s="20">
        <f t="shared" si="20"/>
        <v>46238</v>
      </c>
      <c r="H140" s="20">
        <f t="shared" si="21"/>
        <v>46292</v>
      </c>
      <c r="I140" s="20">
        <f t="shared" si="22"/>
        <v>46297</v>
      </c>
      <c r="J140" s="21">
        <f t="shared" si="23"/>
        <v>46297</v>
      </c>
      <c r="K140" s="17" t="str">
        <f t="shared" ca="1" si="25"/>
        <v>🟢 В порядке</v>
      </c>
      <c r="L140" s="8"/>
    </row>
    <row r="142" spans="1:12" ht="24.05" customHeight="1" x14ac:dyDescent="0.3">
      <c r="A142" s="26" t="s">
        <v>443</v>
      </c>
      <c r="B142" s="27"/>
      <c r="C142" s="27"/>
      <c r="D142" s="27"/>
      <c r="E142" s="27"/>
      <c r="F142" s="27"/>
      <c r="G142" s="31"/>
      <c r="H142" s="31"/>
      <c r="I142" s="31"/>
      <c r="J142" s="31"/>
      <c r="K142" s="27"/>
      <c r="L142" s="27"/>
    </row>
  </sheetData>
  <autoFilter ref="A4:L140" xr:uid="{00000000-0009-0000-0000-000001000000}"/>
  <mergeCells count="3">
    <mergeCell ref="A142:L142"/>
    <mergeCell ref="A2:L2"/>
    <mergeCell ref="A1:L1"/>
  </mergeCells>
  <conditionalFormatting sqref="G5:I140">
    <cfRule type="expression" dxfId="5" priority="7">
      <formula>AND($F5&lt;&gt;"",$F5&lt;TODAY())</formula>
    </cfRule>
    <cfRule type="expression" dxfId="4" priority="8">
      <formula>AND($F5&lt;&gt;"",$F5&gt;=TODAY(),$G5&lt;=TODAY())</formula>
    </cfRule>
  </conditionalFormatting>
  <conditionalFormatting sqref="K5:K140">
    <cfRule type="expression" dxfId="3" priority="9">
      <formula>ISNUMBER(SEARCH("Просрочена",K5))</formula>
    </cfRule>
    <cfRule type="expression" dxfId="2" priority="10">
      <formula>ISNUMBER(SEARCH("Скоро",K5))</formula>
    </cfRule>
    <cfRule type="expression" dxfId="1" priority="11">
      <formula>ISNUMBER(SEARCH("порядке",K5))</formula>
    </cfRule>
  </conditionalFormatting>
  <conditionalFormatting sqref="E124">
    <cfRule type="timePeriod" dxfId="0" priority="4" timePeriod="today">
      <formula>FLOOR(E124,1)=TODAY()</formula>
    </cfRule>
  </conditionalFormatting>
  <pageMargins left="0.75" right="0.75" top="1" bottom="1" header="0.5" footer="0.5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5"/>
  <sheetViews>
    <sheetView topLeftCell="A2" workbookViewId="0"/>
  </sheetViews>
  <sheetFormatPr defaultRowHeight="15.05" x14ac:dyDescent="0.3"/>
  <cols>
    <col min="1" max="1" width="3" style="22" customWidth="1"/>
    <col min="2" max="2" width="60" style="22" customWidth="1"/>
    <col min="3" max="3" width="40" style="22" customWidth="1"/>
  </cols>
  <sheetData>
    <row r="1" spans="2:3" ht="29.95" customHeight="1" x14ac:dyDescent="0.3">
      <c r="B1" s="35" t="s">
        <v>721</v>
      </c>
      <c r="C1" s="27"/>
    </row>
    <row r="3" spans="2:3" ht="20" customHeight="1" x14ac:dyDescent="0.3">
      <c r="B3" s="34"/>
      <c r="C3" s="27"/>
    </row>
    <row r="4" spans="2:3" ht="20" customHeight="1" x14ac:dyDescent="0.3">
      <c r="B4" s="11" t="s">
        <v>722</v>
      </c>
      <c r="C4" s="12" t="s">
        <v>723</v>
      </c>
    </row>
    <row r="5" spans="2:3" ht="20" customHeight="1" x14ac:dyDescent="0.3">
      <c r="B5" s="11" t="s">
        <v>724</v>
      </c>
      <c r="C5" s="12" t="s">
        <v>725</v>
      </c>
    </row>
    <row r="6" spans="2:3" ht="20" customHeight="1" x14ac:dyDescent="0.3">
      <c r="B6" s="11" t="s">
        <v>726</v>
      </c>
      <c r="C6" s="12" t="s">
        <v>727</v>
      </c>
    </row>
    <row r="7" spans="2:3" ht="20" customHeight="1" x14ac:dyDescent="0.3">
      <c r="B7" s="34" t="s">
        <v>728</v>
      </c>
      <c r="C7" s="27"/>
    </row>
    <row r="8" spans="2:3" ht="20" customHeight="1" x14ac:dyDescent="0.3">
      <c r="B8" s="11" t="s">
        <v>729</v>
      </c>
      <c r="C8" s="12" t="s">
        <v>730</v>
      </c>
    </row>
    <row r="9" spans="2:3" ht="20" customHeight="1" x14ac:dyDescent="0.3">
      <c r="B9" s="11" t="s">
        <v>731</v>
      </c>
      <c r="C9" s="12" t="s">
        <v>732</v>
      </c>
    </row>
    <row r="10" spans="2:3" ht="20" customHeight="1" x14ac:dyDescent="0.3">
      <c r="B10" s="34" t="s">
        <v>733</v>
      </c>
      <c r="C10" s="27"/>
    </row>
    <row r="11" spans="2:3" ht="20" customHeight="1" x14ac:dyDescent="0.3">
      <c r="B11" s="34" t="s">
        <v>734</v>
      </c>
      <c r="C11" s="27"/>
    </row>
    <row r="12" spans="2:3" ht="20" customHeight="1" x14ac:dyDescent="0.3">
      <c r="B12" s="34" t="s">
        <v>735</v>
      </c>
      <c r="C12" s="27"/>
    </row>
    <row r="13" spans="2:3" ht="20" customHeight="1" x14ac:dyDescent="0.3">
      <c r="B13" s="34" t="s">
        <v>736</v>
      </c>
      <c r="C13" s="27"/>
    </row>
    <row r="14" spans="2:3" ht="20" customHeight="1" x14ac:dyDescent="0.3">
      <c r="B14" s="34"/>
      <c r="C14" s="27"/>
    </row>
    <row r="15" spans="2:3" ht="20" customHeight="1" x14ac:dyDescent="0.3">
      <c r="B15" s="11" t="s">
        <v>737</v>
      </c>
      <c r="C15" s="12" t="s">
        <v>738</v>
      </c>
    </row>
    <row r="16" spans="2:3" ht="20" customHeight="1" x14ac:dyDescent="0.3">
      <c r="B16" s="34" t="s">
        <v>739</v>
      </c>
      <c r="C16" s="27"/>
    </row>
    <row r="17" spans="2:3" ht="20" customHeight="1" x14ac:dyDescent="0.3">
      <c r="B17" s="34" t="s">
        <v>740</v>
      </c>
      <c r="C17" s="27"/>
    </row>
    <row r="18" spans="2:3" ht="20" customHeight="1" x14ac:dyDescent="0.3">
      <c r="B18" s="34" t="s">
        <v>741</v>
      </c>
      <c r="C18" s="27"/>
    </row>
    <row r="19" spans="2:3" ht="20" customHeight="1" x14ac:dyDescent="0.3">
      <c r="B19" s="34"/>
      <c r="C19" s="27"/>
    </row>
    <row r="20" spans="2:3" ht="20" customHeight="1" x14ac:dyDescent="0.3">
      <c r="B20" s="11" t="s">
        <v>742</v>
      </c>
      <c r="C20" s="12" t="s">
        <v>743</v>
      </c>
    </row>
    <row r="21" spans="2:3" ht="20" customHeight="1" x14ac:dyDescent="0.3">
      <c r="B21" s="34" t="s">
        <v>744</v>
      </c>
      <c r="C21" s="27"/>
    </row>
    <row r="22" spans="2:3" ht="20" customHeight="1" x14ac:dyDescent="0.3">
      <c r="B22" s="34"/>
      <c r="C22" s="27"/>
    </row>
    <row r="23" spans="2:3" ht="20" customHeight="1" x14ac:dyDescent="0.3">
      <c r="B23" s="11" t="s">
        <v>745</v>
      </c>
      <c r="C23" s="12" t="s">
        <v>746</v>
      </c>
    </row>
    <row r="24" spans="2:3" ht="20" customHeight="1" x14ac:dyDescent="0.3">
      <c r="B24" s="34" t="s">
        <v>747</v>
      </c>
      <c r="C24" s="27"/>
    </row>
    <row r="25" spans="2:3" ht="20" customHeight="1" x14ac:dyDescent="0.3">
      <c r="B25" s="34" t="s">
        <v>748</v>
      </c>
      <c r="C25" s="27"/>
    </row>
  </sheetData>
  <mergeCells count="16">
    <mergeCell ref="B1:C1"/>
    <mergeCell ref="B12:C12"/>
    <mergeCell ref="B25:C25"/>
    <mergeCell ref="B11:C11"/>
    <mergeCell ref="B3:C3"/>
    <mergeCell ref="B19:C19"/>
    <mergeCell ref="B10:C10"/>
    <mergeCell ref="B22:C22"/>
    <mergeCell ref="B14:C14"/>
    <mergeCell ref="B17:C17"/>
    <mergeCell ref="B18:C18"/>
    <mergeCell ref="B13:C13"/>
    <mergeCell ref="B21:C21"/>
    <mergeCell ref="B16:C16"/>
    <mergeCell ref="B24:C24"/>
    <mergeCell ref="B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Тонометры</vt:lpstr>
      <vt:lpstr>Алкометры</vt:lpstr>
      <vt:lpstr>📖 Инструкция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Сергей</cp:lastModifiedBy>
  <dcterms:created xsi:type="dcterms:W3CDTF">2026-03-19T14:53:34Z</dcterms:created>
  <dcterms:modified xsi:type="dcterms:W3CDTF">2026-03-21T10:26:04Z</dcterms:modified>
</cp:coreProperties>
</file>